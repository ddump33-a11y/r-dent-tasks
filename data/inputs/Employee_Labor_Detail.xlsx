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3ED325-96EA-4560-8D4A-A573AC0A52A6}" xr6:coauthVersionLast="47" xr6:coauthVersionMax="47" xr10:uidLastSave="{00000000-0000-0000-0000-000000000000}"/>
  <bookViews>
    <workbookView xWindow="1332" yWindow="4008" windowWidth="12960" windowHeight="22200" activeTab="1" xr2:uid="{00000000-000D-0000-FFFF-FFFF00000000}"/>
  </bookViews>
  <sheets>
    <sheet name="LaborDistributionDetailExport" sheetId="1" r:id="rId1"/>
    <sheet name="Pivot Tables" sheetId="2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O6" i="2"/>
  <c r="O2" i="2"/>
  <c r="O3" i="2"/>
  <c r="O4" i="2"/>
  <c r="O7" i="2"/>
  <c r="O1" i="2"/>
  <c r="N7" i="2"/>
  <c r="N1" i="2" a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2" i="1"/>
  <c r="M2" i="2"/>
  <c r="L7" i="2"/>
  <c r="L3" i="2"/>
  <c r="M1" i="2"/>
  <c r="M4" i="2"/>
  <c r="J13" i="2"/>
  <c r="N12" i="2" l="1" a="1"/>
  <c r="N12" i="2" s="1"/>
  <c r="M8" i="2"/>
  <c r="N17" i="2" a="1"/>
  <c r="N17" i="2" s="1"/>
  <c r="N15" i="2" a="1"/>
  <c r="N15" i="2" s="1"/>
  <c r="N1" i="2"/>
  <c r="L4" i="2"/>
  <c r="L1" i="2"/>
  <c r="L2" i="2"/>
  <c r="N14" i="2" l="1" a="1"/>
  <c r="N14" i="2" s="1"/>
  <c r="L8" i="2"/>
  <c r="L10" i="2" s="1"/>
  <c r="N16" i="2" a="1"/>
  <c r="N16" i="2" s="1"/>
  <c r="N13" i="2" a="1"/>
  <c r="N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<sst xmlns="http://schemas.openxmlformats.org/spreadsheetml/2006/main" count="471" uniqueCount="112">
  <si>
    <t>Department</t>
  </si>
  <si>
    <t>Chart of Accounts</t>
  </si>
  <si>
    <t>Employee Name</t>
  </si>
  <si>
    <t>Category</t>
  </si>
  <si>
    <t>Hours</t>
  </si>
  <si>
    <t>Dollars</t>
  </si>
  <si>
    <t>Abart, Mary C</t>
  </si>
  <si>
    <t>Regular</t>
  </si>
  <si>
    <t>Akins, Sean-Michael M</t>
  </si>
  <si>
    <t>ASMAR, AYIA</t>
  </si>
  <si>
    <t>Cummings, Vera A</t>
  </si>
  <si>
    <t>Gainey, Chase M</t>
  </si>
  <si>
    <t xml:space="preserve">Glover, Kelsey  Tashae </t>
  </si>
  <si>
    <t>Guin, Richard A</t>
  </si>
  <si>
    <t>Gutierrez, Matias R</t>
  </si>
  <si>
    <t xml:space="preserve">House, James Elisha </t>
  </si>
  <si>
    <t>Jarvis, Brittany D</t>
  </si>
  <si>
    <t>Jeansonne, Ethan</t>
  </si>
  <si>
    <t>Sleppy, Daniel</t>
  </si>
  <si>
    <t>Williams, Alexander Ray</t>
  </si>
  <si>
    <t>Regular - O/T</t>
  </si>
  <si>
    <t>PTO</t>
  </si>
  <si>
    <t>Coughlin, William C</t>
  </si>
  <si>
    <t>Grubb, Durand C</t>
  </si>
  <si>
    <t>Guardiola, Melissa G</t>
  </si>
  <si>
    <t>McGovern, Nancy J</t>
  </si>
  <si>
    <t>Williams, Tommy John</t>
  </si>
  <si>
    <t>Expense Reimbur</t>
  </si>
  <si>
    <t>Bonus</t>
  </si>
  <si>
    <t>Phillips, Nelson H</t>
  </si>
  <si>
    <t>DiscretionaryBo</t>
  </si>
  <si>
    <t>Bateman, Marisa Jolie</t>
  </si>
  <si>
    <t>Erving, Jerome</t>
  </si>
  <si>
    <t>Gilchrist, Nicholas Ryan</t>
  </si>
  <si>
    <t>Ibrahim, Ali</t>
  </si>
  <si>
    <t>Ross, Marissa M</t>
  </si>
  <si>
    <t>Saleh, Mohamad</t>
  </si>
  <si>
    <t>Sanders, Eric D</t>
  </si>
  <si>
    <t>Smith, Tashauna</t>
  </si>
  <si>
    <t>Stroud, William Isaiah</t>
  </si>
  <si>
    <t>Westbrook, Jordyn</t>
  </si>
  <si>
    <t>Guardiola, Greg</t>
  </si>
  <si>
    <t>Krause, Daniela</t>
  </si>
  <si>
    <t>Bateman, Madelyn</t>
  </si>
  <si>
    <t>Copeland, Melanie K</t>
  </si>
  <si>
    <t>Dyson, Taviana</t>
  </si>
  <si>
    <t>Jarrell, Sarah Ann</t>
  </si>
  <si>
    <t>Lingerfelt, Karen</t>
  </si>
  <si>
    <t>McGowan, Tonya Lynette</t>
  </si>
  <si>
    <t>Shepard Williams, Regina</t>
  </si>
  <si>
    <t>Burk Sr., Steven L</t>
  </si>
  <si>
    <t>Davis, Matthew</t>
  </si>
  <si>
    <t>Easter, Debra</t>
  </si>
  <si>
    <t>Hall, Alan Wayne</t>
  </si>
  <si>
    <t>McConnell, David Duane</t>
  </si>
  <si>
    <t>Neff, Troy</t>
  </si>
  <si>
    <t>Quinn, Daniel Joseph</t>
  </si>
  <si>
    <t xml:space="preserve">Saenger, Christian </t>
  </si>
  <si>
    <t>Shea, John</t>
  </si>
  <si>
    <t>Stewart, William</t>
  </si>
  <si>
    <t>Everitt, Amy Rebecca</t>
  </si>
  <si>
    <t>Grubb, Daxton C</t>
  </si>
  <si>
    <t>High, Breanna Medlock</t>
  </si>
  <si>
    <t>Jackson, Paula</t>
  </si>
  <si>
    <t>McFadden, Elissa</t>
  </si>
  <si>
    <t>McGee, Mary Allison</t>
  </si>
  <si>
    <t>Non Tax Auto</t>
  </si>
  <si>
    <t>Department1</t>
  </si>
  <si>
    <t>Chart of Accounts1</t>
  </si>
  <si>
    <t>1 - 980 Fixed</t>
  </si>
  <si>
    <t>2 - 990 Removable</t>
  </si>
  <si>
    <t>3 - 201 Admin</t>
  </si>
  <si>
    <t>4 - 202 Drivers</t>
  </si>
  <si>
    <t>400 - 400 Implant/Combo</t>
  </si>
  <si>
    <t>5 - 100 Operations</t>
  </si>
  <si>
    <t>500 - 500 Progressive</t>
  </si>
  <si>
    <t>5007 - Commissions</t>
  </si>
  <si>
    <t>5008 - Direct Labor</t>
  </si>
  <si>
    <t>5009 - Indirect Labor</t>
  </si>
  <si>
    <t>5010 - Payroll Taxes</t>
  </si>
  <si>
    <t>6001 - Admin Wages</t>
  </si>
  <si>
    <t>6002 - Payroll Taxes (Admin)</t>
  </si>
  <si>
    <t>6010 - Employee Benefits</t>
  </si>
  <si>
    <t>6062 - Auto Repairs/Maintenance</t>
  </si>
  <si>
    <t>6250 - Employee Meals</t>
  </si>
  <si>
    <t>6900 - Misc Expense</t>
  </si>
  <si>
    <t>2225 - Medical Payables</t>
  </si>
  <si>
    <t>Row Labels</t>
  </si>
  <si>
    <t>Grand Total</t>
  </si>
  <si>
    <t>Sum of Hours</t>
  </si>
  <si>
    <t>Sum of Dollars</t>
  </si>
  <si>
    <t>BREE HIGH</t>
  </si>
  <si>
    <t>DAXTON GRUBB</t>
  </si>
  <si>
    <t>Dental Lab</t>
  </si>
  <si>
    <t>Drivers</t>
  </si>
  <si>
    <t>Daxton</t>
  </si>
  <si>
    <t>Sales</t>
  </si>
  <si>
    <t>Clerical</t>
  </si>
  <si>
    <t>Don Berry</t>
  </si>
  <si>
    <t>machinery repair contract labor</t>
  </si>
  <si>
    <t>Gil Guardiola</t>
  </si>
  <si>
    <t>Bree</t>
  </si>
  <si>
    <t>remote</t>
  </si>
  <si>
    <t>compare</t>
  </si>
  <si>
    <t xml:space="preserve"> </t>
  </si>
  <si>
    <t>Marilyn Wood</t>
  </si>
  <si>
    <t>Non Tax Auto 100</t>
  </si>
  <si>
    <t>Non Tax Auto 980</t>
  </si>
  <si>
    <t>Non Tax Auto 201</t>
  </si>
  <si>
    <t>Non Tax Auto 202</t>
  </si>
  <si>
    <t>Non Tax Auto 400</t>
  </si>
  <si>
    <t>Non Tax Auto 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</si>
</sst>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ahoma"/>
    </font>
    <font>
      <sz val="7"/>
      <color rgb="FF000000"/>
      <name val="Tahoma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3">
    <xf numFmtId="0" fontId="1" fillId="0" borderId="0" xfId="0" applyFont="1"/>
    <xf numFmtId="0" fontId="2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horizontal="right" vertical="center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0" borderId="0" xfId="0" applyNumberFormat="1" applyFont="1" applyAlignment="1">
      <alignment vertical="top" wrapText="1" readingOrder="1"/>
    </xf>
    <xf numFmtId="0" fontId="5" fillId="0" borderId="0" xfId="0" applyFont="1"/>
    <xf numFmtId="0" fontId="6" fillId="0" borderId="0" xfId="0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NumberFormat="1" applyFont="1"/>
    <xf numFmtId="44" fontId="1" fillId="0" borderId="0" xfId="0" applyNumberFormat="1" applyFont="1"/>
    <xf numFmtId="44" fontId="5" fillId="0" borderId="0" xfId="1" applyFont="1"/>
    <xf numFmtId="44" fontId="6" fillId="0" borderId="0" xfId="0" applyNumberFormat="1" applyFont="1"/>
    <xf numFmtId="44" fontId="5" fillId="0" borderId="0" xfId="1" applyFont="1" applyBorder="1"/>
    <xf numFmtId="44" fontId="6" fillId="0" borderId="0" xfId="1" applyFont="1"/>
    <xf numFmtId="0" fontId="5" fillId="0" borderId="2" xfId="0" applyFont="1" applyBorder="1"/>
    <xf numFmtId="0" fontId="6" fillId="0" borderId="2" xfId="0" applyFont="1" applyBorder="1"/>
    <xf numFmtId="44" fontId="5" fillId="0" borderId="2" xfId="1" applyFont="1" applyBorder="1"/>
    <xf numFmtId="0" fontId="7" fillId="0" borderId="0" xfId="0" applyFont="1" applyAlignment="1">
      <alignment horizontal="right"/>
    </xf>
    <xf numFmtId="44" fontId="8" fillId="0" borderId="0" xfId="0" applyNumberFormat="1" applyFont="1"/>
  </cellXfs>
  <cellStyles count="2">
    <cellStyle name="Currency" xfId="1" builtinId="4"/>
    <cellStyle name="Normal" xfId="0" builtinId="0"/>
  </cellStyles>
  <dxfs count="1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ison McGee" refreshedDate="46164.390655324074" createdVersion="8" refreshedVersion="8" minRefreshableVersion="3" recordCount="117" xr:uid="{95898459-4E09-4B5E-ACF7-E3208AEEB17F}">
  <cacheSource type="worksheet">
    <worksheetSource ref="A1:H118" sheet="LaborDistributionDetailExport"/>
  </cacheSource>
  <cacheFields count="8">
    <cacheField name="Department1" numFmtId="0">
      <sharedItems containsSemiMixedTypes="0" containsString="0" containsNumber="1" containsInteger="1" minValue="1" maxValue="5"/>
    </cacheField>
    <cacheField name="Department" numFmtId="0">
      <sharedItems count="7">
        <s v="1 - 980 Fixed"/>
        <s v="2 - 990 Removable"/>
        <s v="3 - 201 Admin"/>
        <s v="4 - 202 Drivers"/>
        <s v="5 - 100 Operations"/>
        <s v="DAXTON GRUBB"/>
        <s v="BREE HIGH"/>
      </sharedItems>
    </cacheField>
    <cacheField name="Chart of Accounts1" numFmtId="0">
      <sharedItems containsSemiMixedTypes="0" containsString="0" containsNumber="1" containsInteger="1" minValue="5008" maxValue="6900"/>
    </cacheField>
    <cacheField name="Chart of Accounts" numFmtId="0">
      <sharedItems/>
    </cacheField>
    <cacheField name="Employee Name" numFmtId="0">
      <sharedItems count="54">
        <s v="Abart, Mary C"/>
        <s v="Akins, Sean-Michael M"/>
        <s v="ASMAR, AYIA"/>
        <s v="Cummings, Vera A"/>
        <s v="Gainey, Chase M"/>
        <s v="Glover, Kelsey  Tashae "/>
        <s v="Guin, Richard A"/>
        <s v="Gutierrez, Matias R"/>
        <s v="House, James Elisha "/>
        <s v="Jarvis, Brittany D"/>
        <s v="Jeansonne, Ethan"/>
        <s v="Sleppy, Daniel"/>
        <s v="Williams, Alexander Ray"/>
        <s v="Coughlin, William C"/>
        <s v="Grubb, Durand C"/>
        <s v="Guardiola, Melissa G"/>
        <s v="McGovern, Nancy J"/>
        <s v="Williams, Tommy John"/>
        <s v="Phillips, Nelson H"/>
        <s v="Bateman, Marisa Jolie"/>
        <s v="Erving, Jerome"/>
        <s v="Gilchrist, Nicholas Ryan"/>
        <s v="Ibrahim, Ali"/>
        <s v="Ross, Marissa M"/>
        <s v="Saleh, Mohamad"/>
        <s v="Sanders, Eric D"/>
        <s v="Smith, Tashauna"/>
        <s v="Stroud, William Isaiah"/>
        <s v="Westbrook, Jordyn"/>
        <s v="Guardiola, Greg"/>
        <s v="Krause, Daniela"/>
        <s v="Bateman, Madelyn"/>
        <s v="Copeland, Melanie K"/>
        <s v="Dyson, Taviana"/>
        <s v="Jarrell, Sarah Ann"/>
        <s v="Lingerfelt, Karen"/>
        <s v="McGowan, Tonya Lynette"/>
        <s v="Shepard Williams, Regina"/>
        <s v="Burk Sr., Steven L"/>
        <s v="Davis, Matthew"/>
        <s v="Easter, Debra"/>
        <s v="Hall, Alan Wayne"/>
        <s v="McConnell, David Duane"/>
        <s v="Neff, Troy"/>
        <s v="Quinn, Daniel Joseph"/>
        <s v="Saenger, Christian "/>
        <s v="Shea, John"/>
        <s v="Stewart, William"/>
        <s v="Everitt, Amy Rebecca"/>
        <s v="Grubb, Daxton C"/>
        <s v="High, Breanna Medlock"/>
        <s v="Jackson, Paula"/>
        <s v="McFadden, Elissa"/>
        <s v="McGee, Mary Allison"/>
      </sharedItems>
    </cacheField>
    <cacheField name="Category" numFmtId="0">
      <sharedItems count="7">
        <s v="Regular"/>
        <s v="Regular - O/T"/>
        <s v="PTO"/>
        <s v="Expense Reimbur"/>
        <s v="Bonus"/>
        <s v="DiscretionaryBo"/>
        <s v="Non Tax Auto"/>
      </sharedItems>
    </cacheField>
    <cacheField name="Hours" numFmtId="0">
      <sharedItems containsSemiMixedTypes="0" containsString="0" containsNumber="1" minValue="0" maxValue="85.41"/>
    </cacheField>
    <cacheField name="Dollars" numFmtId="0">
      <sharedItems containsSemiMixedTypes="0" containsString="0" containsNumber="1" minValue="5.48" maxValue="24276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1"/>
    <x v="0"/>
    <n v="5008"/>
    <s v="5008 - Direct Labor"/>
    <x v="0"/>
    <x v="0"/>
    <n v="56.64"/>
    <n v="1019.52"/>
  </r>
  <r>
    <n v="1"/>
    <x v="0"/>
    <n v="5008"/>
    <s v="5008 - Direct Labor"/>
    <x v="1"/>
    <x v="0"/>
    <n v="37.049999999999997"/>
    <n v="833.63"/>
  </r>
  <r>
    <n v="1"/>
    <x v="0"/>
    <n v="5008"/>
    <s v="5008 - Direct Labor"/>
    <x v="2"/>
    <x v="0"/>
    <n v="80"/>
    <n v="1360"/>
  </r>
  <r>
    <n v="1"/>
    <x v="0"/>
    <n v="5008"/>
    <s v="5008 - Direct Labor"/>
    <x v="3"/>
    <x v="0"/>
    <n v="71.959999999999994"/>
    <n v="2158.8000000000002"/>
  </r>
  <r>
    <n v="1"/>
    <x v="0"/>
    <n v="5008"/>
    <s v="5008 - Direct Labor"/>
    <x v="4"/>
    <x v="0"/>
    <n v="74.55"/>
    <n v="1416.45"/>
  </r>
  <r>
    <n v="1"/>
    <x v="0"/>
    <n v="5008"/>
    <s v="5008 - Direct Labor"/>
    <x v="5"/>
    <x v="0"/>
    <n v="60"/>
    <n v="1020"/>
  </r>
  <r>
    <n v="1"/>
    <x v="0"/>
    <n v="5008"/>
    <s v="5008 - Direct Labor"/>
    <x v="6"/>
    <x v="0"/>
    <n v="40"/>
    <n v="800"/>
  </r>
  <r>
    <n v="1"/>
    <x v="0"/>
    <n v="5008"/>
    <s v="5008 - Direct Labor"/>
    <x v="7"/>
    <x v="0"/>
    <n v="9.9499999999999993"/>
    <n v="258.7"/>
  </r>
  <r>
    <n v="1"/>
    <x v="0"/>
    <n v="5008"/>
    <s v="5008 - Direct Labor"/>
    <x v="8"/>
    <x v="0"/>
    <n v="60"/>
    <n v="1020"/>
  </r>
  <r>
    <n v="1"/>
    <x v="0"/>
    <n v="5008"/>
    <s v="5008 - Direct Labor"/>
    <x v="9"/>
    <x v="0"/>
    <n v="66.94"/>
    <n v="1472.68"/>
  </r>
  <r>
    <n v="1"/>
    <x v="0"/>
    <n v="5008"/>
    <s v="5008 - Direct Labor"/>
    <x v="10"/>
    <x v="0"/>
    <n v="8.0299999999999994"/>
    <n v="136.51"/>
  </r>
  <r>
    <n v="1"/>
    <x v="0"/>
    <n v="5008"/>
    <s v="5008 - Direct Labor"/>
    <x v="11"/>
    <x v="0"/>
    <n v="49.29"/>
    <n v="1577.28"/>
  </r>
  <r>
    <n v="1"/>
    <x v="0"/>
    <n v="5008"/>
    <s v="5008 - Direct Labor"/>
    <x v="12"/>
    <x v="0"/>
    <n v="35.729999999999997"/>
    <n v="607.41"/>
  </r>
  <r>
    <n v="1"/>
    <x v="0"/>
    <n v="5008"/>
    <s v="5008 - Direct Labor"/>
    <x v="1"/>
    <x v="1"/>
    <n v="2.11"/>
    <n v="71.05"/>
  </r>
  <r>
    <n v="1"/>
    <x v="0"/>
    <n v="5008"/>
    <s v="5008 - Direct Labor"/>
    <x v="2"/>
    <x v="1"/>
    <n v="2.12"/>
    <n v="54.06"/>
  </r>
  <r>
    <n v="1"/>
    <x v="0"/>
    <n v="5008"/>
    <s v="5008 - Direct Labor"/>
    <x v="3"/>
    <x v="1"/>
    <n v="6.58"/>
    <n v="296.10000000000002"/>
  </r>
  <r>
    <n v="1"/>
    <x v="0"/>
    <n v="5008"/>
    <s v="5008 - Direct Labor"/>
    <x v="4"/>
    <x v="1"/>
    <n v="7.81"/>
    <n v="222.59"/>
  </r>
  <r>
    <n v="1"/>
    <x v="0"/>
    <n v="5008"/>
    <s v="5008 - Direct Labor"/>
    <x v="5"/>
    <x v="1"/>
    <n v="2.48"/>
    <n v="63.31"/>
  </r>
  <r>
    <n v="1"/>
    <x v="0"/>
    <n v="5008"/>
    <s v="5008 - Direct Labor"/>
    <x v="6"/>
    <x v="1"/>
    <n v="2.78"/>
    <n v="83.4"/>
  </r>
  <r>
    <n v="1"/>
    <x v="0"/>
    <n v="5008"/>
    <s v="5008 - Direct Labor"/>
    <x v="8"/>
    <x v="1"/>
    <n v="2.87"/>
    <n v="73.25"/>
  </r>
  <r>
    <n v="1"/>
    <x v="0"/>
    <n v="5008"/>
    <s v="5008 - Direct Labor"/>
    <x v="11"/>
    <x v="1"/>
    <n v="6.36"/>
    <n v="305.27999999999997"/>
  </r>
  <r>
    <n v="1"/>
    <x v="0"/>
    <n v="5008"/>
    <s v="5008 - Direct Labor"/>
    <x v="12"/>
    <x v="1"/>
    <n v="0.21"/>
    <n v="5.48"/>
  </r>
  <r>
    <n v="1"/>
    <x v="0"/>
    <n v="5008"/>
    <s v="5008 - Direct Labor"/>
    <x v="0"/>
    <x v="2"/>
    <n v="16"/>
    <n v="288"/>
  </r>
  <r>
    <n v="1"/>
    <x v="0"/>
    <n v="5008"/>
    <s v="5008 - Direct Labor"/>
    <x v="3"/>
    <x v="2"/>
    <n v="8"/>
    <n v="240"/>
  </r>
  <r>
    <n v="1"/>
    <x v="0"/>
    <n v="5008"/>
    <s v="5008 - Direct Labor"/>
    <x v="4"/>
    <x v="2"/>
    <n v="8"/>
    <n v="152"/>
  </r>
  <r>
    <n v="1"/>
    <x v="0"/>
    <n v="5008"/>
    <s v="5008 - Direct Labor"/>
    <x v="7"/>
    <x v="2"/>
    <n v="8"/>
    <n v="208"/>
  </r>
  <r>
    <n v="1"/>
    <x v="0"/>
    <n v="5008"/>
    <s v="5008 - Direct Labor"/>
    <x v="11"/>
    <x v="2"/>
    <n v="32"/>
    <n v="1024"/>
  </r>
  <r>
    <n v="1"/>
    <x v="0"/>
    <n v="5009"/>
    <s v="5009 - Indirect Labor"/>
    <x v="13"/>
    <x v="0"/>
    <n v="68"/>
    <n v="1904"/>
  </r>
  <r>
    <n v="1"/>
    <x v="0"/>
    <n v="5009"/>
    <s v="5009 - Indirect Labor"/>
    <x v="14"/>
    <x v="0"/>
    <n v="0"/>
    <n v="1922.83"/>
  </r>
  <r>
    <n v="1"/>
    <x v="0"/>
    <n v="5009"/>
    <s v="5009 - Indirect Labor"/>
    <x v="15"/>
    <x v="0"/>
    <n v="80"/>
    <n v="3076.93"/>
  </r>
  <r>
    <n v="1"/>
    <x v="0"/>
    <n v="5009"/>
    <s v="5009 - Indirect Labor"/>
    <x v="16"/>
    <x v="0"/>
    <n v="80"/>
    <n v="1840"/>
  </r>
  <r>
    <n v="1"/>
    <x v="0"/>
    <n v="5009"/>
    <s v="5009 - Indirect Labor"/>
    <x v="17"/>
    <x v="0"/>
    <n v="36"/>
    <n v="1107.69"/>
  </r>
  <r>
    <n v="1"/>
    <x v="0"/>
    <n v="5009"/>
    <s v="5009 - Indirect Labor"/>
    <x v="13"/>
    <x v="1"/>
    <n v="9.32"/>
    <n v="391.27"/>
  </r>
  <r>
    <n v="1"/>
    <x v="0"/>
    <n v="5009"/>
    <s v="5009 - Indirect Labor"/>
    <x v="16"/>
    <x v="1"/>
    <n v="9.24"/>
    <n v="318.77999999999997"/>
  </r>
  <r>
    <n v="1"/>
    <x v="0"/>
    <n v="5009"/>
    <s v="5009 - Indirect Labor"/>
    <x v="17"/>
    <x v="2"/>
    <n v="4"/>
    <n v="123.08"/>
  </r>
  <r>
    <n v="1"/>
    <x v="0"/>
    <n v="5009"/>
    <s v="5009 - Indirect Labor"/>
    <x v="17"/>
    <x v="3"/>
    <n v="0"/>
    <n v="22.7"/>
  </r>
  <r>
    <n v="1"/>
    <x v="0"/>
    <n v="5009"/>
    <s v="5009 - Indirect Labor"/>
    <x v="15"/>
    <x v="4"/>
    <n v="0"/>
    <n v="4454.1000000000004"/>
  </r>
  <r>
    <n v="1"/>
    <x v="0"/>
    <n v="5009"/>
    <s v="5009 - Indirect Labor"/>
    <x v="17"/>
    <x v="4"/>
    <n v="0"/>
    <n v="750"/>
  </r>
  <r>
    <n v="2"/>
    <x v="1"/>
    <n v="5008"/>
    <s v="5008 - Direct Labor"/>
    <x v="18"/>
    <x v="5"/>
    <n v="0"/>
    <n v="1680"/>
  </r>
  <r>
    <n v="2"/>
    <x v="1"/>
    <n v="5008"/>
    <s v="5008 - Direct Labor"/>
    <x v="1"/>
    <x v="0"/>
    <n v="37.049999999999997"/>
    <n v="833.62"/>
  </r>
  <r>
    <n v="2"/>
    <x v="1"/>
    <n v="5008"/>
    <s v="5008 - Direct Labor"/>
    <x v="19"/>
    <x v="0"/>
    <n v="69.430000000000007"/>
    <n v="1041.45"/>
  </r>
  <r>
    <n v="2"/>
    <x v="1"/>
    <n v="5008"/>
    <s v="5008 - Direct Labor"/>
    <x v="20"/>
    <x v="0"/>
    <n v="76.3"/>
    <n v="1144.5"/>
  </r>
  <r>
    <n v="2"/>
    <x v="1"/>
    <n v="5008"/>
    <s v="5008 - Direct Labor"/>
    <x v="21"/>
    <x v="0"/>
    <n v="66.95"/>
    <n v="1539.85"/>
  </r>
  <r>
    <n v="2"/>
    <x v="1"/>
    <n v="5008"/>
    <s v="5008 - Direct Labor"/>
    <x v="5"/>
    <x v="0"/>
    <n v="20"/>
    <n v="340"/>
  </r>
  <r>
    <n v="2"/>
    <x v="1"/>
    <n v="5008"/>
    <s v="5008 - Direct Labor"/>
    <x v="6"/>
    <x v="0"/>
    <n v="40"/>
    <n v="800"/>
  </r>
  <r>
    <n v="2"/>
    <x v="1"/>
    <n v="5008"/>
    <s v="5008 - Direct Labor"/>
    <x v="7"/>
    <x v="0"/>
    <n v="29.85"/>
    <n v="776.1"/>
  </r>
  <r>
    <n v="2"/>
    <x v="1"/>
    <n v="5008"/>
    <s v="5008 - Direct Labor"/>
    <x v="8"/>
    <x v="0"/>
    <n v="20"/>
    <n v="340"/>
  </r>
  <r>
    <n v="2"/>
    <x v="1"/>
    <n v="5008"/>
    <s v="5008 - Direct Labor"/>
    <x v="22"/>
    <x v="0"/>
    <n v="66.55"/>
    <n v="1331"/>
  </r>
  <r>
    <n v="2"/>
    <x v="1"/>
    <n v="5008"/>
    <s v="5008 - Direct Labor"/>
    <x v="10"/>
    <x v="0"/>
    <n v="8.0299999999999994"/>
    <n v="136.51"/>
  </r>
  <r>
    <n v="2"/>
    <x v="1"/>
    <n v="5008"/>
    <s v="5008 - Direct Labor"/>
    <x v="18"/>
    <x v="0"/>
    <n v="85.41"/>
    <n v="2562.3000000000002"/>
  </r>
  <r>
    <n v="2"/>
    <x v="1"/>
    <n v="5008"/>
    <s v="5008 - Direct Labor"/>
    <x v="23"/>
    <x v="0"/>
    <n v="71.11"/>
    <n v="1137.76"/>
  </r>
  <r>
    <n v="2"/>
    <x v="1"/>
    <n v="5008"/>
    <s v="5008 - Direct Labor"/>
    <x v="24"/>
    <x v="0"/>
    <n v="80"/>
    <n v="2000"/>
  </r>
  <r>
    <n v="2"/>
    <x v="1"/>
    <n v="5008"/>
    <s v="5008 - Direct Labor"/>
    <x v="25"/>
    <x v="0"/>
    <n v="80"/>
    <n v="2320"/>
  </r>
  <r>
    <n v="2"/>
    <x v="1"/>
    <n v="5008"/>
    <s v="5008 - Direct Labor"/>
    <x v="26"/>
    <x v="0"/>
    <n v="80"/>
    <n v="1280"/>
  </r>
  <r>
    <n v="2"/>
    <x v="1"/>
    <n v="5008"/>
    <s v="5008 - Direct Labor"/>
    <x v="27"/>
    <x v="0"/>
    <n v="73.84"/>
    <n v="1107.5999999999999"/>
  </r>
  <r>
    <n v="2"/>
    <x v="1"/>
    <n v="5008"/>
    <s v="5008 - Direct Labor"/>
    <x v="28"/>
    <x v="0"/>
    <n v="80"/>
    <n v="1120"/>
  </r>
  <r>
    <n v="2"/>
    <x v="1"/>
    <n v="5008"/>
    <s v="5008 - Direct Labor"/>
    <x v="12"/>
    <x v="0"/>
    <n v="35.729999999999997"/>
    <n v="607.41"/>
  </r>
  <r>
    <n v="2"/>
    <x v="1"/>
    <n v="5008"/>
    <s v="5008 - Direct Labor"/>
    <x v="1"/>
    <x v="1"/>
    <n v="2.1"/>
    <n v="71.040000000000006"/>
  </r>
  <r>
    <n v="2"/>
    <x v="1"/>
    <n v="5008"/>
    <s v="5008 - Direct Labor"/>
    <x v="20"/>
    <x v="1"/>
    <n v="2.09"/>
    <n v="47.03"/>
  </r>
  <r>
    <n v="2"/>
    <x v="1"/>
    <n v="5008"/>
    <s v="5008 - Direct Labor"/>
    <x v="21"/>
    <x v="1"/>
    <n v="6.05"/>
    <n v="208.73"/>
  </r>
  <r>
    <n v="2"/>
    <x v="1"/>
    <n v="5008"/>
    <s v="5008 - Direct Labor"/>
    <x v="5"/>
    <x v="1"/>
    <n v="0.83"/>
    <n v="21.1"/>
  </r>
  <r>
    <n v="2"/>
    <x v="1"/>
    <n v="5008"/>
    <s v="5008 - Direct Labor"/>
    <x v="6"/>
    <x v="1"/>
    <n v="2.78"/>
    <n v="83.4"/>
  </r>
  <r>
    <n v="2"/>
    <x v="1"/>
    <n v="5008"/>
    <s v="5008 - Direct Labor"/>
    <x v="8"/>
    <x v="1"/>
    <n v="0.96"/>
    <n v="24.42"/>
  </r>
  <r>
    <n v="2"/>
    <x v="1"/>
    <n v="5008"/>
    <s v="5008 - Direct Labor"/>
    <x v="18"/>
    <x v="1"/>
    <n v="11.14"/>
    <n v="501.3"/>
  </r>
  <r>
    <n v="2"/>
    <x v="1"/>
    <n v="5008"/>
    <s v="5008 - Direct Labor"/>
    <x v="24"/>
    <x v="1"/>
    <n v="1.85"/>
    <n v="69.38"/>
  </r>
  <r>
    <n v="2"/>
    <x v="1"/>
    <n v="5008"/>
    <s v="5008 - Direct Labor"/>
    <x v="25"/>
    <x v="1"/>
    <n v="5.36"/>
    <n v="233.16"/>
  </r>
  <r>
    <n v="2"/>
    <x v="1"/>
    <n v="5008"/>
    <s v="5008 - Direct Labor"/>
    <x v="26"/>
    <x v="1"/>
    <n v="13.01"/>
    <n v="312.24"/>
  </r>
  <r>
    <n v="2"/>
    <x v="1"/>
    <n v="5008"/>
    <s v="5008 - Direct Labor"/>
    <x v="27"/>
    <x v="1"/>
    <n v="3.56"/>
    <n v="80.099999999999994"/>
  </r>
  <r>
    <n v="2"/>
    <x v="1"/>
    <n v="5008"/>
    <s v="5008 - Direct Labor"/>
    <x v="28"/>
    <x v="1"/>
    <n v="0.92"/>
    <n v="19.32"/>
  </r>
  <r>
    <n v="2"/>
    <x v="1"/>
    <n v="5008"/>
    <s v="5008 - Direct Labor"/>
    <x v="12"/>
    <x v="1"/>
    <n v="0.22"/>
    <n v="5.49"/>
  </r>
  <r>
    <n v="2"/>
    <x v="1"/>
    <n v="5008"/>
    <s v="5008 - Direct Labor"/>
    <x v="21"/>
    <x v="2"/>
    <n v="16"/>
    <n v="368"/>
  </r>
  <r>
    <n v="2"/>
    <x v="1"/>
    <n v="5008"/>
    <s v="5008 - Direct Labor"/>
    <x v="7"/>
    <x v="2"/>
    <n v="24"/>
    <n v="624"/>
  </r>
  <r>
    <n v="2"/>
    <x v="1"/>
    <n v="5008"/>
    <s v="5008 - Direct Labor"/>
    <x v="27"/>
    <x v="2"/>
    <n v="8"/>
    <n v="120"/>
  </r>
  <r>
    <n v="2"/>
    <x v="1"/>
    <n v="5009"/>
    <s v="5009 - Indirect Labor"/>
    <x v="13"/>
    <x v="0"/>
    <n v="12"/>
    <n v="336"/>
  </r>
  <r>
    <n v="2"/>
    <x v="1"/>
    <n v="5009"/>
    <s v="5009 - Indirect Labor"/>
    <x v="29"/>
    <x v="0"/>
    <n v="80"/>
    <n v="3076.93"/>
  </r>
  <r>
    <n v="2"/>
    <x v="1"/>
    <n v="5009"/>
    <s v="5009 - Indirect Labor"/>
    <x v="30"/>
    <x v="0"/>
    <n v="80"/>
    <n v="1600"/>
  </r>
  <r>
    <n v="2"/>
    <x v="1"/>
    <n v="5009"/>
    <s v="5009 - Indirect Labor"/>
    <x v="17"/>
    <x v="0"/>
    <n v="36"/>
    <n v="1107.69"/>
  </r>
  <r>
    <n v="2"/>
    <x v="1"/>
    <n v="5009"/>
    <s v="5009 - Indirect Labor"/>
    <x v="13"/>
    <x v="1"/>
    <n v="1.64"/>
    <n v="69.05"/>
  </r>
  <r>
    <n v="2"/>
    <x v="1"/>
    <n v="5009"/>
    <s v="5009 - Indirect Labor"/>
    <x v="30"/>
    <x v="1"/>
    <n v="4.5"/>
    <n v="135"/>
  </r>
  <r>
    <n v="2"/>
    <x v="1"/>
    <n v="5009"/>
    <s v="5009 - Indirect Labor"/>
    <x v="17"/>
    <x v="2"/>
    <n v="4"/>
    <n v="123.07"/>
  </r>
  <r>
    <n v="2"/>
    <x v="1"/>
    <n v="5009"/>
    <s v="5009 - Indirect Labor"/>
    <x v="17"/>
    <x v="3"/>
    <n v="0"/>
    <n v="22.69"/>
  </r>
  <r>
    <n v="2"/>
    <x v="1"/>
    <n v="5009"/>
    <s v="5009 - Indirect Labor"/>
    <x v="17"/>
    <x v="4"/>
    <n v="0"/>
    <n v="750"/>
  </r>
  <r>
    <n v="3"/>
    <x v="2"/>
    <n v="6001"/>
    <s v="6001 - Admin Wages"/>
    <x v="31"/>
    <x v="0"/>
    <n v="76.680000000000007"/>
    <n v="1265.22"/>
  </r>
  <r>
    <n v="3"/>
    <x v="2"/>
    <n v="6001"/>
    <s v="6001 - Admin Wages"/>
    <x v="32"/>
    <x v="0"/>
    <n v="80"/>
    <n v="2307.6999999999998"/>
  </r>
  <r>
    <n v="3"/>
    <x v="2"/>
    <n v="6001"/>
    <s v="6001 - Admin Wages"/>
    <x v="33"/>
    <x v="0"/>
    <n v="77.61"/>
    <n v="1319.37"/>
  </r>
  <r>
    <n v="3"/>
    <x v="2"/>
    <n v="6001"/>
    <s v="6001 - Admin Wages"/>
    <x v="34"/>
    <x v="0"/>
    <n v="61.82"/>
    <n v="989.12"/>
  </r>
  <r>
    <n v="3"/>
    <x v="2"/>
    <n v="6001"/>
    <s v="6001 - Admin Wages"/>
    <x v="35"/>
    <x v="0"/>
    <n v="80"/>
    <n v="1600"/>
  </r>
  <r>
    <n v="3"/>
    <x v="2"/>
    <n v="6001"/>
    <s v="6001 - Admin Wages"/>
    <x v="36"/>
    <x v="0"/>
    <n v="80"/>
    <n v="1280"/>
  </r>
  <r>
    <n v="3"/>
    <x v="2"/>
    <n v="6001"/>
    <s v="6001 - Admin Wages"/>
    <x v="37"/>
    <x v="0"/>
    <n v="54.67"/>
    <n v="874.72"/>
  </r>
  <r>
    <n v="3"/>
    <x v="2"/>
    <n v="6001"/>
    <s v="6001 - Admin Wages"/>
    <x v="33"/>
    <x v="1"/>
    <n v="0.53"/>
    <n v="13.52"/>
  </r>
  <r>
    <n v="3"/>
    <x v="2"/>
    <n v="6001"/>
    <s v="6001 - Admin Wages"/>
    <x v="35"/>
    <x v="1"/>
    <n v="2.85"/>
    <n v="85.5"/>
  </r>
  <r>
    <n v="3"/>
    <x v="2"/>
    <n v="6001"/>
    <s v="6001 - Admin Wages"/>
    <x v="36"/>
    <x v="1"/>
    <n v="4.63"/>
    <n v="111.12"/>
  </r>
  <r>
    <n v="3"/>
    <x v="2"/>
    <n v="6001"/>
    <s v="6001 - Admin Wages"/>
    <x v="31"/>
    <x v="2"/>
    <n v="3"/>
    <n v="49.5"/>
  </r>
  <r>
    <n v="3"/>
    <x v="2"/>
    <n v="6001"/>
    <s v="6001 - Admin Wages"/>
    <x v="32"/>
    <x v="4"/>
    <n v="0"/>
    <n v="685.58"/>
  </r>
  <r>
    <n v="4"/>
    <x v="3"/>
    <n v="6001"/>
    <s v="6001 - Admin Wages"/>
    <x v="38"/>
    <x v="0"/>
    <n v="45.19"/>
    <n v="542.28"/>
  </r>
  <r>
    <n v="4"/>
    <x v="3"/>
    <n v="6001"/>
    <s v="6001 - Admin Wages"/>
    <x v="39"/>
    <x v="0"/>
    <n v="18.43"/>
    <n v="221.16"/>
  </r>
  <r>
    <n v="4"/>
    <x v="3"/>
    <n v="6001"/>
    <s v="6001 - Admin Wages"/>
    <x v="40"/>
    <x v="0"/>
    <n v="28.42"/>
    <n v="341.04"/>
  </r>
  <r>
    <n v="4"/>
    <x v="3"/>
    <n v="6001"/>
    <s v="6001 - Admin Wages"/>
    <x v="41"/>
    <x v="0"/>
    <n v="51.26"/>
    <n v="602.30999999999995"/>
  </r>
  <r>
    <n v="4"/>
    <x v="3"/>
    <n v="6001"/>
    <s v="6001 - Admin Wages"/>
    <x v="42"/>
    <x v="0"/>
    <n v="80"/>
    <n v="960"/>
  </r>
  <r>
    <n v="4"/>
    <x v="3"/>
    <n v="6001"/>
    <s v="6001 - Admin Wages"/>
    <x v="43"/>
    <x v="0"/>
    <n v="49.34"/>
    <n v="616.75"/>
  </r>
  <r>
    <n v="4"/>
    <x v="3"/>
    <n v="6001"/>
    <s v="6001 - Admin Wages"/>
    <x v="44"/>
    <x v="0"/>
    <n v="33.75"/>
    <n v="337.5"/>
  </r>
  <r>
    <n v="4"/>
    <x v="3"/>
    <n v="6001"/>
    <s v="6001 - Admin Wages"/>
    <x v="45"/>
    <x v="0"/>
    <n v="13.77"/>
    <n v="172.13"/>
  </r>
  <r>
    <n v="4"/>
    <x v="3"/>
    <n v="6001"/>
    <s v="6001 - Admin Wages"/>
    <x v="46"/>
    <x v="0"/>
    <n v="52.81"/>
    <n v="660.13"/>
  </r>
  <r>
    <n v="4"/>
    <x v="3"/>
    <n v="6001"/>
    <s v="6001 - Admin Wages"/>
    <x v="47"/>
    <x v="0"/>
    <n v="36.840000000000003"/>
    <n v="405.24"/>
  </r>
  <r>
    <n v="4"/>
    <x v="3"/>
    <n v="6001"/>
    <s v="6001 - Admin Wages"/>
    <x v="42"/>
    <x v="1"/>
    <n v="4.99"/>
    <n v="89.82"/>
  </r>
  <r>
    <n v="5"/>
    <x v="4"/>
    <n v="6900"/>
    <s v="6900 - Misc Expense"/>
    <x v="48"/>
    <x v="3"/>
    <n v="0"/>
    <n v="310.73"/>
  </r>
  <r>
    <n v="5"/>
    <x v="4"/>
    <n v="6001"/>
    <s v="6001 - Admin Wages"/>
    <x v="48"/>
    <x v="0"/>
    <n v="80"/>
    <n v="2500"/>
  </r>
  <r>
    <n v="5"/>
    <x v="5"/>
    <n v="6001"/>
    <s v="6001 - Admin Wages"/>
    <x v="49"/>
    <x v="0"/>
    <n v="80"/>
    <n v="24276.09"/>
  </r>
  <r>
    <n v="5"/>
    <x v="4"/>
    <n v="6001"/>
    <s v="6001 - Admin Wages"/>
    <x v="14"/>
    <x v="0"/>
    <n v="0"/>
    <n v="7177.17"/>
  </r>
  <r>
    <n v="5"/>
    <x v="6"/>
    <n v="6001"/>
    <s v="6001 - Admin Wages"/>
    <x v="50"/>
    <x v="0"/>
    <n v="80"/>
    <n v="2307.69"/>
  </r>
  <r>
    <n v="5"/>
    <x v="4"/>
    <n v="6001"/>
    <s v="6001 - Admin Wages"/>
    <x v="51"/>
    <x v="0"/>
    <n v="72"/>
    <n v="2215.38"/>
  </r>
  <r>
    <n v="5"/>
    <x v="4"/>
    <n v="6001"/>
    <s v="6001 - Admin Wages"/>
    <x v="52"/>
    <x v="0"/>
    <n v="66.28"/>
    <n v="1723.28"/>
  </r>
  <r>
    <n v="5"/>
    <x v="4"/>
    <n v="6001"/>
    <s v="6001 - Admin Wages"/>
    <x v="53"/>
    <x v="0"/>
    <n v="46.53"/>
    <n v="1628.55"/>
  </r>
  <r>
    <n v="5"/>
    <x v="4"/>
    <n v="6001"/>
    <s v="6001 - Admin Wages"/>
    <x v="51"/>
    <x v="6"/>
    <n v="0"/>
    <n v="7"/>
  </r>
  <r>
    <n v="5"/>
    <x v="4"/>
    <n v="6001"/>
    <s v="6001 - Admin Wages"/>
    <x v="51"/>
    <x v="2"/>
    <n v="8"/>
    <n v="246.15"/>
  </r>
  <r>
    <n v="5"/>
    <x v="4"/>
    <n v="6001"/>
    <s v="6001 - Admin Wages"/>
    <x v="48"/>
    <x v="4"/>
    <n v="0"/>
    <n v="48.43"/>
  </r>
  <r>
    <n v="5"/>
    <x v="6"/>
    <n v="6001"/>
    <s v="6001 - Admin Wages"/>
    <x v="50"/>
    <x v="4"/>
    <n v="0"/>
    <n v="468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EFF62-304B-4721-BDFC-9E4DE01FC0B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G34" firstHeaderRow="0" firstDataRow="1" firstDataCol="1"/>
  <pivotFields count="8"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8">
        <item x="0"/>
        <item x="1"/>
        <item x="2"/>
        <item x="4"/>
        <item x="5"/>
        <item x="3"/>
        <item x="6"/>
        <item t="default"/>
      </items>
    </pivotField>
    <pivotField dataField="1" showAll="0"/>
    <pivotField dataField="1" showAll="0"/>
  </pivotFields>
  <rowFields count="2">
    <field x="1"/>
    <field x="5"/>
  </rowFields>
  <rowItems count="33"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/>
    </i>
    <i r="1">
      <x/>
    </i>
    <i r="1">
      <x v="1"/>
    </i>
    <i r="1">
      <x v="2"/>
    </i>
    <i r="1">
      <x v="3"/>
    </i>
    <i r="1">
      <x v="5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>
      <x v="4"/>
    </i>
    <i r="1">
      <x/>
    </i>
    <i r="1">
      <x v="2"/>
    </i>
    <i r="1">
      <x v="3"/>
    </i>
    <i r="1">
      <x v="5"/>
    </i>
    <i r="1">
      <x v="6"/>
    </i>
    <i>
      <x v="6"/>
    </i>
    <i r="1">
      <x/>
    </i>
    <i>
      <x v="5"/>
    </i>
    <i r="1">
      <x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6" baseField="0" baseItem="0"/>
    <dataField name="Sum of Dollars" fld="7" baseField="0" baseItem="0" numFmtId="44"/>
  </dataFields>
  <formats count="1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EFE80-7369-4A0B-8AE3-9C1DA077A25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53" firstHeaderRow="0" firstDataRow="1" firstDataCol="1"/>
  <pivotFields count="8">
    <pivotField showAll="0"/>
    <pivotField showAll="0"/>
    <pivotField showAll="0"/>
    <pivotField showAll="0"/>
    <pivotField axis="axisRow" showAll="0" sortType="descending">
      <items count="55">
        <item x="0"/>
        <item x="1"/>
        <item x="2"/>
        <item x="31"/>
        <item x="19"/>
        <item x="38"/>
        <item x="32"/>
        <item x="13"/>
        <item x="3"/>
        <item x="39"/>
        <item x="33"/>
        <item x="40"/>
        <item x="20"/>
        <item x="48"/>
        <item x="4"/>
        <item x="21"/>
        <item x="5"/>
        <item x="49"/>
        <item x="14"/>
        <item x="29"/>
        <item x="15"/>
        <item x="6"/>
        <item x="7"/>
        <item x="41"/>
        <item x="50"/>
        <item x="8"/>
        <item x="22"/>
        <item x="51"/>
        <item x="34"/>
        <item x="9"/>
        <item x="10"/>
        <item x="30"/>
        <item x="35"/>
        <item x="42"/>
        <item x="52"/>
        <item x="53"/>
        <item x="16"/>
        <item x="36"/>
        <item x="43"/>
        <item x="18"/>
        <item x="44"/>
        <item x="23"/>
        <item x="45"/>
        <item x="24"/>
        <item x="25"/>
        <item x="46"/>
        <item x="37"/>
        <item x="11"/>
        <item x="26"/>
        <item x="47"/>
        <item x="27"/>
        <item x="28"/>
        <item x="1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0"/>
        <item x="1"/>
        <item x="5"/>
        <item x="2"/>
        <item x="4"/>
        <item x="3"/>
        <item x="6"/>
        <item t="default"/>
      </items>
    </pivotField>
    <pivotField dataField="1" showAll="0"/>
    <pivotField dataField="1" showAll="0"/>
  </pivotFields>
  <rowFields count="2">
    <field x="4"/>
    <field x="5"/>
  </rowFields>
  <rowItems count="152">
    <i>
      <x v="39"/>
    </i>
    <i r="1">
      <x/>
    </i>
    <i r="1">
      <x v="1"/>
    </i>
    <i r="1">
      <x v="2"/>
    </i>
    <i>
      <x v="48"/>
    </i>
    <i r="1">
      <x/>
    </i>
    <i r="1">
      <x v="1"/>
    </i>
    <i>
      <x v="7"/>
    </i>
    <i r="1">
      <x/>
    </i>
    <i r="1">
      <x v="1"/>
    </i>
    <i>
      <x v="14"/>
    </i>
    <i r="1">
      <x/>
    </i>
    <i r="1">
      <x v="1"/>
    </i>
    <i r="1">
      <x v="3"/>
    </i>
    <i>
      <x v="36"/>
    </i>
    <i r="1">
      <x/>
    </i>
    <i r="1">
      <x v="1"/>
    </i>
    <i>
      <x v="15"/>
    </i>
    <i r="1">
      <x/>
    </i>
    <i r="1">
      <x v="1"/>
    </i>
    <i r="1">
      <x v="3"/>
    </i>
    <i>
      <x v="47"/>
    </i>
    <i r="1">
      <x/>
    </i>
    <i r="1">
      <x v="1"/>
    </i>
    <i r="1">
      <x v="3"/>
    </i>
    <i>
      <x v="8"/>
    </i>
    <i r="1">
      <x/>
    </i>
    <i r="1">
      <x v="1"/>
    </i>
    <i r="1">
      <x v="3"/>
    </i>
    <i>
      <x v="21"/>
    </i>
    <i r="1">
      <x/>
    </i>
    <i r="1">
      <x v="1"/>
    </i>
    <i>
      <x v="50"/>
    </i>
    <i r="1">
      <x/>
    </i>
    <i r="1">
      <x v="1"/>
    </i>
    <i r="1">
      <x v="3"/>
    </i>
    <i>
      <x v="44"/>
    </i>
    <i r="1">
      <x/>
    </i>
    <i r="1">
      <x v="1"/>
    </i>
    <i>
      <x v="33"/>
    </i>
    <i r="1">
      <x/>
    </i>
    <i r="1">
      <x v="1"/>
    </i>
    <i>
      <x v="37"/>
    </i>
    <i r="1">
      <x/>
    </i>
    <i r="1">
      <x v="1"/>
    </i>
    <i>
      <x v="31"/>
    </i>
    <i r="1">
      <x/>
    </i>
    <i r="1">
      <x v="1"/>
    </i>
    <i>
      <x v="25"/>
    </i>
    <i r="1">
      <x/>
    </i>
    <i r="1">
      <x v="1"/>
    </i>
    <i>
      <x v="16"/>
    </i>
    <i r="1">
      <x/>
    </i>
    <i r="1">
      <x v="1"/>
    </i>
    <i>
      <x v="32"/>
    </i>
    <i r="1">
      <x/>
    </i>
    <i r="1">
      <x v="1"/>
    </i>
    <i>
      <x v="2"/>
    </i>
    <i r="1">
      <x/>
    </i>
    <i r="1">
      <x v="1"/>
    </i>
    <i>
      <x v="43"/>
    </i>
    <i r="1">
      <x/>
    </i>
    <i r="1">
      <x v="1"/>
    </i>
    <i>
      <x v="51"/>
    </i>
    <i r="1">
      <x/>
    </i>
    <i r="1">
      <x v="1"/>
    </i>
    <i>
      <x v="13"/>
    </i>
    <i r="1">
      <x/>
    </i>
    <i r="1">
      <x v="4"/>
    </i>
    <i r="1">
      <x v="5"/>
    </i>
    <i>
      <x v="19"/>
    </i>
    <i r="1">
      <x/>
    </i>
    <i>
      <x v="6"/>
    </i>
    <i r="1">
      <x/>
    </i>
    <i r="1">
      <x v="4"/>
    </i>
    <i>
      <x v="20"/>
    </i>
    <i r="1">
      <x/>
    </i>
    <i r="1">
      <x v="4"/>
    </i>
    <i>
      <x v="53"/>
    </i>
    <i r="1">
      <x/>
    </i>
    <i r="1">
      <x v="3"/>
    </i>
    <i r="1">
      <x v="4"/>
    </i>
    <i r="1">
      <x v="5"/>
    </i>
    <i>
      <x v="17"/>
    </i>
    <i r="1">
      <x/>
    </i>
    <i>
      <x v="24"/>
    </i>
    <i r="1">
      <x/>
    </i>
    <i r="1">
      <x v="4"/>
    </i>
    <i>
      <x v="27"/>
    </i>
    <i r="1">
      <x/>
    </i>
    <i r="1">
      <x v="3"/>
    </i>
    <i r="1">
      <x v="6"/>
    </i>
    <i>
      <x v="3"/>
    </i>
    <i r="1">
      <x/>
    </i>
    <i r="1">
      <x v="3"/>
    </i>
    <i>
      <x v="12"/>
    </i>
    <i r="1">
      <x/>
    </i>
    <i r="1">
      <x v="1"/>
    </i>
    <i>
      <x v="1"/>
    </i>
    <i r="1">
      <x/>
    </i>
    <i r="1">
      <x v="1"/>
    </i>
    <i>
      <x v="10"/>
    </i>
    <i r="1">
      <x/>
    </i>
    <i r="1">
      <x v="1"/>
    </i>
    <i>
      <x/>
    </i>
    <i r="1">
      <x/>
    </i>
    <i r="1">
      <x v="3"/>
    </i>
    <i>
      <x v="52"/>
    </i>
    <i r="1">
      <x/>
    </i>
    <i r="1">
      <x v="1"/>
    </i>
    <i>
      <x v="22"/>
    </i>
    <i r="1">
      <x/>
    </i>
    <i r="1">
      <x v="3"/>
    </i>
    <i>
      <x v="41"/>
    </i>
    <i r="1">
      <x/>
    </i>
    <i>
      <x v="4"/>
    </i>
    <i r="1">
      <x/>
    </i>
    <i>
      <x v="29"/>
    </i>
    <i r="1">
      <x/>
    </i>
    <i>
      <x v="26"/>
    </i>
    <i r="1">
      <x/>
    </i>
    <i>
      <x v="34"/>
    </i>
    <i r="1">
      <x/>
    </i>
    <i>
      <x v="28"/>
    </i>
    <i r="1">
      <x/>
    </i>
    <i>
      <x v="46"/>
    </i>
    <i r="1">
      <x/>
    </i>
    <i>
      <x v="45"/>
    </i>
    <i r="1">
      <x/>
    </i>
    <i>
      <x v="23"/>
    </i>
    <i r="1">
      <x/>
    </i>
    <i>
      <x v="38"/>
    </i>
    <i r="1">
      <x/>
    </i>
    <i>
      <x v="35"/>
    </i>
    <i r="1">
      <x/>
    </i>
    <i>
      <x v="5"/>
    </i>
    <i r="1">
      <x/>
    </i>
    <i>
      <x v="49"/>
    </i>
    <i r="1">
      <x/>
    </i>
    <i>
      <x v="40"/>
    </i>
    <i r="1">
      <x/>
    </i>
    <i>
      <x v="11"/>
    </i>
    <i r="1">
      <x/>
    </i>
    <i>
      <x v="9"/>
    </i>
    <i r="1">
      <x/>
    </i>
    <i>
      <x v="30"/>
    </i>
    <i r="1">
      <x/>
    </i>
    <i>
      <x v="42"/>
    </i>
    <i r="1">
      <x/>
    </i>
    <i>
      <x v="18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6" baseField="0" baseItem="0"/>
    <dataField name="Sum of Dollars" fld="7" baseField="0" baseItem="0" numFmtId="44"/>
  </dataFields>
  <formats count="1"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showGridLines="0" workbookViewId="0">
      <selection activeCell="D6" sqref="A1:H118"/>
    </sheetView>
  </sheetViews>
  <sheetFormatPr defaultRowHeight="14.4" x14ac:dyDescent="0.3"/>
  <cols>
    <col min="1" max="4" width="13.6640625" customWidth="1"/>
    <col min="5" max="5" width="31.5546875" customWidth="1"/>
    <col min="6" max="6" width="15.109375" customWidth="1"/>
    <col min="7" max="7" width="14.44140625" customWidth="1"/>
    <col min="8" max="8" width="15.77734375" customWidth="1"/>
  </cols>
  <sheetData>
    <row r="1" spans="1:11" ht="18" x14ac:dyDescent="0.3">
      <c r="A1" s="1" t="s">
        <v>67</v>
      </c>
      <c r="B1" s="1" t="s">
        <v>0</v>
      </c>
      <c r="C1" s="1" t="s">
        <v>68</v>
      </c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J1" s="7">
        <v>1</v>
      </c>
      <c r="K1" s="7" t="s">
        <v>69</v>
      </c>
    </row>
    <row r="2" spans="1:11" x14ac:dyDescent="0.3">
      <c r="A2" s="6">
        <v>1</v>
      </c>
      <c r="B2" s="3" t="str">
        <f>IF(E2="High, Breanna Medlock","BREE HIGH",IF(E2="Marsh, Ronson","RONSON MARSH",IF(E2="Waddell, Daniel Vaughn","DANIEL WADDELL",IF(E2="Grubb, Daxton C","DAXTON GRUBB",_xlfn.XLOOKUP(A2,$J$1:$J$7,$K$1:$K$7)))))</f>
        <v>1 - 980 Fixed</v>
      </c>
      <c r="C2" s="6">
        <v>5008</v>
      </c>
      <c r="D2" s="3" t="str">
        <f>_xlfn.XLOOKUP(C2,$J$9:$J$19,$K$9:$K$19)</f>
        <v>5008 - Direct Labor</v>
      </c>
      <c r="E2" s="4" t="s">
        <v>6</v>
      </c>
      <c r="F2" s="4" t="s">
        <v>7</v>
      </c>
      <c r="G2" s="5">
        <v>56.64</v>
      </c>
      <c r="H2" s="5">
        <v>1019.52</v>
      </c>
      <c r="J2" s="7">
        <v>2</v>
      </c>
      <c r="K2" s="7" t="s">
        <v>70</v>
      </c>
    </row>
    <row r="3" spans="1:11" x14ac:dyDescent="0.3">
      <c r="A3" s="6">
        <v>1</v>
      </c>
      <c r="B3" s="3" t="str">
        <f t="shared" ref="B3:B66" si="0">IF(E3="High, Breanna Medlock","BREE HIGH",IF(E3="Marsh, Ronson","RONSON MARSH",IF(E3="Waddell, Daniel Vaughn","DANIEL WADDELL",IF(E3="Grubb, Daxton C","DAXTON GRUBB",_xlfn.XLOOKUP(A3,$J$1:$J$7,$K$1:$K$7)))))</f>
        <v>1 - 980 Fixed</v>
      </c>
      <c r="C3" s="6">
        <v>5008</v>
      </c>
      <c r="D3" s="3" t="str">
        <f t="shared" ref="D3:D66" si="1">_xlfn.XLOOKUP(C3,$J$9:$J$19,$K$9:$K$19)</f>
        <v>5008 - Direct Labor</v>
      </c>
      <c r="E3" s="4" t="s">
        <v>8</v>
      </c>
      <c r="F3" s="4" t="s">
        <v>7</v>
      </c>
      <c r="G3" s="5">
        <v>37.049999999999997</v>
      </c>
      <c r="H3" s="5">
        <v>833.63</v>
      </c>
      <c r="J3" s="7">
        <v>3</v>
      </c>
      <c r="K3" s="7" t="s">
        <v>71</v>
      </c>
    </row>
    <row r="4" spans="1:11" x14ac:dyDescent="0.3">
      <c r="A4" s="6">
        <v>1</v>
      </c>
      <c r="B4" s="3" t="str">
        <f t="shared" si="0"/>
        <v>1 - 980 Fixed</v>
      </c>
      <c r="C4" s="6">
        <v>5008</v>
      </c>
      <c r="D4" s="3" t="str">
        <f t="shared" si="1"/>
        <v>5008 - Direct Labor</v>
      </c>
      <c r="E4" s="4" t="s">
        <v>9</v>
      </c>
      <c r="F4" s="4" t="s">
        <v>7</v>
      </c>
      <c r="G4" s="5">
        <v>80</v>
      </c>
      <c r="H4" s="5">
        <v>1360</v>
      </c>
      <c r="J4" s="7">
        <v>4</v>
      </c>
      <c r="K4" s="7" t="s">
        <v>72</v>
      </c>
    </row>
    <row r="5" spans="1:11" x14ac:dyDescent="0.3">
      <c r="A5" s="6">
        <v>1</v>
      </c>
      <c r="B5" s="3" t="str">
        <f t="shared" si="0"/>
        <v>1 - 980 Fixed</v>
      </c>
      <c r="C5" s="6">
        <v>5008</v>
      </c>
      <c r="D5" s="3" t="str">
        <f t="shared" si="1"/>
        <v>5008 - Direct Labor</v>
      </c>
      <c r="E5" s="4" t="s">
        <v>10</v>
      </c>
      <c r="F5" s="4" t="s">
        <v>7</v>
      </c>
      <c r="G5" s="5">
        <v>71.959999999999994</v>
      </c>
      <c r="H5" s="5">
        <v>2158.8000000000002</v>
      </c>
      <c r="J5" s="7">
        <v>400</v>
      </c>
      <c r="K5" s="7" t="s">
        <v>73</v>
      </c>
    </row>
    <row r="6" spans="1:11" x14ac:dyDescent="0.3">
      <c r="A6" s="6">
        <v>1</v>
      </c>
      <c r="B6" s="3" t="str">
        <f t="shared" si="0"/>
        <v>1 - 980 Fixed</v>
      </c>
      <c r="C6" s="6">
        <v>5008</v>
      </c>
      <c r="D6" s="3" t="str">
        <f t="shared" si="1"/>
        <v>5008 - Direct Labor</v>
      </c>
      <c r="E6" s="4" t="s">
        <v>11</v>
      </c>
      <c r="F6" s="4" t="s">
        <v>7</v>
      </c>
      <c r="G6" s="5">
        <v>74.55</v>
      </c>
      <c r="H6" s="5">
        <v>1416.45</v>
      </c>
      <c r="J6" s="7">
        <v>5</v>
      </c>
      <c r="K6" s="7" t="s">
        <v>74</v>
      </c>
    </row>
    <row r="7" spans="1:11" x14ac:dyDescent="0.3">
      <c r="A7" s="6">
        <v>1</v>
      </c>
      <c r="B7" s="3" t="str">
        <f t="shared" si="0"/>
        <v>1 - 980 Fixed</v>
      </c>
      <c r="C7" s="6">
        <v>5008</v>
      </c>
      <c r="D7" s="3" t="str">
        <f t="shared" si="1"/>
        <v>5008 - Direct Labor</v>
      </c>
      <c r="E7" s="4" t="s">
        <v>12</v>
      </c>
      <c r="F7" s="4" t="s">
        <v>7</v>
      </c>
      <c r="G7" s="5">
        <v>60</v>
      </c>
      <c r="H7" s="5">
        <v>1020</v>
      </c>
      <c r="J7" s="7">
        <v>500</v>
      </c>
      <c r="K7" s="7" t="s">
        <v>75</v>
      </c>
    </row>
    <row r="8" spans="1:11" x14ac:dyDescent="0.3">
      <c r="A8" s="6">
        <v>1</v>
      </c>
      <c r="B8" s="3" t="str">
        <f t="shared" si="0"/>
        <v>1 - 980 Fixed</v>
      </c>
      <c r="C8" s="6">
        <v>5008</v>
      </c>
      <c r="D8" s="3" t="str">
        <f t="shared" si="1"/>
        <v>5008 - Direct Labor</v>
      </c>
      <c r="E8" s="4" t="s">
        <v>13</v>
      </c>
      <c r="F8" s="4" t="s">
        <v>7</v>
      </c>
      <c r="G8" s="5">
        <v>40</v>
      </c>
      <c r="H8" s="5">
        <v>800</v>
      </c>
      <c r="J8" s="7"/>
      <c r="K8" s="7"/>
    </row>
    <row r="9" spans="1:11" x14ac:dyDescent="0.3">
      <c r="A9" s="6">
        <v>1</v>
      </c>
      <c r="B9" s="3" t="str">
        <f t="shared" si="0"/>
        <v>1 - 980 Fixed</v>
      </c>
      <c r="C9" s="6">
        <v>5008</v>
      </c>
      <c r="D9" s="3" t="str">
        <f t="shared" si="1"/>
        <v>5008 - Direct Labor</v>
      </c>
      <c r="E9" s="4" t="s">
        <v>14</v>
      </c>
      <c r="F9" s="4" t="s">
        <v>7</v>
      </c>
      <c r="G9" s="5">
        <v>9.9499999999999993</v>
      </c>
      <c r="H9" s="5">
        <v>258.7</v>
      </c>
      <c r="J9" s="7">
        <v>5007</v>
      </c>
      <c r="K9" s="7" t="s">
        <v>76</v>
      </c>
    </row>
    <row r="10" spans="1:11" x14ac:dyDescent="0.3">
      <c r="A10" s="6">
        <v>1</v>
      </c>
      <c r="B10" s="3" t="str">
        <f t="shared" si="0"/>
        <v>1 - 980 Fixed</v>
      </c>
      <c r="C10" s="6">
        <v>5008</v>
      </c>
      <c r="D10" s="3" t="str">
        <f t="shared" si="1"/>
        <v>5008 - Direct Labor</v>
      </c>
      <c r="E10" s="4" t="s">
        <v>15</v>
      </c>
      <c r="F10" s="4" t="s">
        <v>7</v>
      </c>
      <c r="G10" s="5">
        <v>60</v>
      </c>
      <c r="H10" s="5">
        <v>1020</v>
      </c>
      <c r="J10" s="7">
        <v>5008</v>
      </c>
      <c r="K10" s="7" t="s">
        <v>77</v>
      </c>
    </row>
    <row r="11" spans="1:11" x14ac:dyDescent="0.3">
      <c r="A11" s="6">
        <v>1</v>
      </c>
      <c r="B11" s="3" t="str">
        <f t="shared" si="0"/>
        <v>1 - 980 Fixed</v>
      </c>
      <c r="C11" s="6">
        <v>5008</v>
      </c>
      <c r="D11" s="3" t="str">
        <f t="shared" si="1"/>
        <v>5008 - Direct Labor</v>
      </c>
      <c r="E11" s="4" t="s">
        <v>16</v>
      </c>
      <c r="F11" s="4" t="s">
        <v>7</v>
      </c>
      <c r="G11" s="5">
        <v>66.94</v>
      </c>
      <c r="H11" s="5">
        <v>1472.68</v>
      </c>
      <c r="J11" s="7">
        <v>5009</v>
      </c>
      <c r="K11" s="7" t="s">
        <v>78</v>
      </c>
    </row>
    <row r="12" spans="1:11" x14ac:dyDescent="0.3">
      <c r="A12" s="6">
        <v>1</v>
      </c>
      <c r="B12" s="3" t="str">
        <f t="shared" si="0"/>
        <v>1 - 980 Fixed</v>
      </c>
      <c r="C12" s="6">
        <v>5008</v>
      </c>
      <c r="D12" s="3" t="str">
        <f t="shared" si="1"/>
        <v>5008 - Direct Labor</v>
      </c>
      <c r="E12" s="4" t="s">
        <v>17</v>
      </c>
      <c r="F12" s="4" t="s">
        <v>7</v>
      </c>
      <c r="G12" s="5">
        <v>8.0299999999999994</v>
      </c>
      <c r="H12" s="5">
        <v>136.51</v>
      </c>
      <c r="J12" s="7">
        <v>5010</v>
      </c>
      <c r="K12" s="7" t="s">
        <v>79</v>
      </c>
    </row>
    <row r="13" spans="1:11" x14ac:dyDescent="0.3">
      <c r="A13" s="6">
        <v>1</v>
      </c>
      <c r="B13" s="3" t="str">
        <f t="shared" si="0"/>
        <v>1 - 980 Fixed</v>
      </c>
      <c r="C13" s="6">
        <v>5008</v>
      </c>
      <c r="D13" s="3" t="str">
        <f t="shared" si="1"/>
        <v>5008 - Direct Labor</v>
      </c>
      <c r="E13" s="4" t="s">
        <v>18</v>
      </c>
      <c r="F13" s="4" t="s">
        <v>7</v>
      </c>
      <c r="G13" s="5">
        <v>49.29</v>
      </c>
      <c r="H13" s="5">
        <v>1577.28</v>
      </c>
      <c r="J13" s="7">
        <v>6001</v>
      </c>
      <c r="K13" s="7" t="s">
        <v>80</v>
      </c>
    </row>
    <row r="14" spans="1:11" x14ac:dyDescent="0.3">
      <c r="A14" s="6">
        <v>1</v>
      </c>
      <c r="B14" s="3" t="str">
        <f t="shared" si="0"/>
        <v>1 - 980 Fixed</v>
      </c>
      <c r="C14" s="6">
        <v>5008</v>
      </c>
      <c r="D14" s="3" t="str">
        <f t="shared" si="1"/>
        <v>5008 - Direct Labor</v>
      </c>
      <c r="E14" s="4" t="s">
        <v>19</v>
      </c>
      <c r="F14" s="4" t="s">
        <v>7</v>
      </c>
      <c r="G14" s="5">
        <v>35.729999999999997</v>
      </c>
      <c r="H14" s="5">
        <v>607.41</v>
      </c>
      <c r="J14" s="7">
        <v>6002</v>
      </c>
      <c r="K14" s="7" t="s">
        <v>81</v>
      </c>
    </row>
    <row r="15" spans="1:11" x14ac:dyDescent="0.3">
      <c r="A15" s="6">
        <v>1</v>
      </c>
      <c r="B15" s="3" t="str">
        <f t="shared" si="0"/>
        <v>1 - 980 Fixed</v>
      </c>
      <c r="C15" s="6">
        <v>5008</v>
      </c>
      <c r="D15" s="3" t="str">
        <f t="shared" si="1"/>
        <v>5008 - Direct Labor</v>
      </c>
      <c r="E15" s="4" t="s">
        <v>8</v>
      </c>
      <c r="F15" s="4" t="s">
        <v>20</v>
      </c>
      <c r="G15" s="5">
        <v>2.11</v>
      </c>
      <c r="H15" s="5">
        <v>71.05</v>
      </c>
      <c r="J15" s="7">
        <v>6010</v>
      </c>
      <c r="K15" s="7" t="s">
        <v>82</v>
      </c>
    </row>
    <row r="16" spans="1:11" x14ac:dyDescent="0.3">
      <c r="A16" s="6">
        <v>1</v>
      </c>
      <c r="B16" s="3" t="str">
        <f t="shared" si="0"/>
        <v>1 - 980 Fixed</v>
      </c>
      <c r="C16" s="6">
        <v>5008</v>
      </c>
      <c r="D16" s="3" t="str">
        <f t="shared" si="1"/>
        <v>5008 - Direct Labor</v>
      </c>
      <c r="E16" s="4" t="s">
        <v>9</v>
      </c>
      <c r="F16" s="4" t="s">
        <v>20</v>
      </c>
      <c r="G16" s="5">
        <v>2.12</v>
      </c>
      <c r="H16" s="5">
        <v>54.06</v>
      </c>
      <c r="J16" s="8">
        <v>6062</v>
      </c>
      <c r="K16" s="8" t="s">
        <v>83</v>
      </c>
    </row>
    <row r="17" spans="1:11" x14ac:dyDescent="0.3">
      <c r="A17" s="6">
        <v>1</v>
      </c>
      <c r="B17" s="3" t="str">
        <f t="shared" si="0"/>
        <v>1 - 980 Fixed</v>
      </c>
      <c r="C17" s="6">
        <v>5008</v>
      </c>
      <c r="D17" s="3" t="str">
        <f t="shared" si="1"/>
        <v>5008 - Direct Labor</v>
      </c>
      <c r="E17" s="4" t="s">
        <v>10</v>
      </c>
      <c r="F17" s="4" t="s">
        <v>20</v>
      </c>
      <c r="G17" s="5">
        <v>6.58</v>
      </c>
      <c r="H17" s="5">
        <v>296.10000000000002</v>
      </c>
      <c r="J17" s="8">
        <v>6250</v>
      </c>
      <c r="K17" s="8" t="s">
        <v>84</v>
      </c>
    </row>
    <row r="18" spans="1:11" x14ac:dyDescent="0.3">
      <c r="A18" s="6">
        <v>1</v>
      </c>
      <c r="B18" s="3" t="str">
        <f t="shared" si="0"/>
        <v>1 - 980 Fixed</v>
      </c>
      <c r="C18" s="6">
        <v>5008</v>
      </c>
      <c r="D18" s="3" t="str">
        <f t="shared" si="1"/>
        <v>5008 - Direct Labor</v>
      </c>
      <c r="E18" s="4" t="s">
        <v>11</v>
      </c>
      <c r="F18" s="4" t="s">
        <v>20</v>
      </c>
      <c r="G18" s="5">
        <v>7.81</v>
      </c>
      <c r="H18" s="5">
        <v>222.59</v>
      </c>
      <c r="J18" s="7">
        <v>6900</v>
      </c>
      <c r="K18" s="7" t="s">
        <v>85</v>
      </c>
    </row>
    <row r="19" spans="1:11" x14ac:dyDescent="0.3">
      <c r="A19" s="6">
        <v>1</v>
      </c>
      <c r="B19" s="3" t="str">
        <f t="shared" si="0"/>
        <v>1 - 980 Fixed</v>
      </c>
      <c r="C19" s="6">
        <v>5008</v>
      </c>
      <c r="D19" s="3" t="str">
        <f t="shared" si="1"/>
        <v>5008 - Direct Labor</v>
      </c>
      <c r="E19" s="4" t="s">
        <v>12</v>
      </c>
      <c r="F19" s="4" t="s">
        <v>20</v>
      </c>
      <c r="G19" s="5">
        <v>2.48</v>
      </c>
      <c r="H19" s="5">
        <v>63.31</v>
      </c>
      <c r="J19" s="8">
        <v>2225</v>
      </c>
      <c r="K19" s="8" t="s">
        <v>86</v>
      </c>
    </row>
    <row r="20" spans="1:11" x14ac:dyDescent="0.3">
      <c r="A20" s="6">
        <v>1</v>
      </c>
      <c r="B20" s="3" t="str">
        <f t="shared" si="0"/>
        <v>1 - 980 Fixed</v>
      </c>
      <c r="C20" s="6">
        <v>5008</v>
      </c>
      <c r="D20" s="3" t="str">
        <f t="shared" si="1"/>
        <v>5008 - Direct Labor</v>
      </c>
      <c r="E20" s="4" t="s">
        <v>13</v>
      </c>
      <c r="F20" s="4" t="s">
        <v>20</v>
      </c>
      <c r="G20" s="5">
        <v>2.78</v>
      </c>
      <c r="H20" s="5">
        <v>83.4</v>
      </c>
    </row>
    <row r="21" spans="1:11" x14ac:dyDescent="0.3">
      <c r="A21" s="6">
        <v>1</v>
      </c>
      <c r="B21" s="3" t="str">
        <f t="shared" si="0"/>
        <v>1 - 980 Fixed</v>
      </c>
      <c r="C21" s="6">
        <v>5008</v>
      </c>
      <c r="D21" s="3" t="str">
        <f t="shared" si="1"/>
        <v>5008 - Direct Labor</v>
      </c>
      <c r="E21" s="4" t="s">
        <v>15</v>
      </c>
      <c r="F21" s="4" t="s">
        <v>20</v>
      </c>
      <c r="G21" s="5">
        <v>2.87</v>
      </c>
      <c r="H21" s="5">
        <v>73.25</v>
      </c>
    </row>
    <row r="22" spans="1:11" x14ac:dyDescent="0.3">
      <c r="A22" s="6">
        <v>1</v>
      </c>
      <c r="B22" s="3" t="str">
        <f t="shared" si="0"/>
        <v>1 - 980 Fixed</v>
      </c>
      <c r="C22" s="6">
        <v>5008</v>
      </c>
      <c r="D22" s="3" t="str">
        <f t="shared" si="1"/>
        <v>5008 - Direct Labor</v>
      </c>
      <c r="E22" s="4" t="s">
        <v>18</v>
      </c>
      <c r="F22" s="4" t="s">
        <v>20</v>
      </c>
      <c r="G22" s="5">
        <v>6.36</v>
      </c>
      <c r="H22" s="5">
        <v>305.27999999999997</v>
      </c>
    </row>
    <row r="23" spans="1:11" x14ac:dyDescent="0.3">
      <c r="A23" s="6">
        <v>1</v>
      </c>
      <c r="B23" s="3" t="str">
        <f t="shared" si="0"/>
        <v>1 - 980 Fixed</v>
      </c>
      <c r="C23" s="6">
        <v>5008</v>
      </c>
      <c r="D23" s="3" t="str">
        <f t="shared" si="1"/>
        <v>5008 - Direct Labor</v>
      </c>
      <c r="E23" s="4" t="s">
        <v>19</v>
      </c>
      <c r="F23" s="4" t="s">
        <v>20</v>
      </c>
      <c r="G23" s="5">
        <v>0.21</v>
      </c>
      <c r="H23" s="5">
        <v>5.48</v>
      </c>
    </row>
    <row r="24" spans="1:11" x14ac:dyDescent="0.3">
      <c r="A24" s="6">
        <v>1</v>
      </c>
      <c r="B24" s="3" t="str">
        <f t="shared" si="0"/>
        <v>1 - 980 Fixed</v>
      </c>
      <c r="C24" s="6">
        <v>5008</v>
      </c>
      <c r="D24" s="3" t="str">
        <f t="shared" si="1"/>
        <v>5008 - Direct Labor</v>
      </c>
      <c r="E24" s="4" t="s">
        <v>6</v>
      </c>
      <c r="F24" s="4" t="s">
        <v>21</v>
      </c>
      <c r="G24" s="5">
        <v>16</v>
      </c>
      <c r="H24" s="5">
        <v>288</v>
      </c>
    </row>
    <row r="25" spans="1:11" x14ac:dyDescent="0.3">
      <c r="A25" s="6">
        <v>1</v>
      </c>
      <c r="B25" s="3" t="str">
        <f t="shared" si="0"/>
        <v>1 - 980 Fixed</v>
      </c>
      <c r="C25" s="6">
        <v>5008</v>
      </c>
      <c r="D25" s="3" t="str">
        <f t="shared" si="1"/>
        <v>5008 - Direct Labor</v>
      </c>
      <c r="E25" s="4" t="s">
        <v>10</v>
      </c>
      <c r="F25" s="4" t="s">
        <v>21</v>
      </c>
      <c r="G25" s="5">
        <v>8</v>
      </c>
      <c r="H25" s="5">
        <v>240</v>
      </c>
    </row>
    <row r="26" spans="1:11" x14ac:dyDescent="0.3">
      <c r="A26" s="6">
        <v>1</v>
      </c>
      <c r="B26" s="3" t="str">
        <f t="shared" si="0"/>
        <v>1 - 980 Fixed</v>
      </c>
      <c r="C26" s="6">
        <v>5008</v>
      </c>
      <c r="D26" s="3" t="str">
        <f t="shared" si="1"/>
        <v>5008 - Direct Labor</v>
      </c>
      <c r="E26" s="4" t="s">
        <v>11</v>
      </c>
      <c r="F26" s="4" t="s">
        <v>21</v>
      </c>
      <c r="G26" s="5">
        <v>8</v>
      </c>
      <c r="H26" s="5">
        <v>152</v>
      </c>
    </row>
    <row r="27" spans="1:11" x14ac:dyDescent="0.3">
      <c r="A27" s="6">
        <v>1</v>
      </c>
      <c r="B27" s="3" t="str">
        <f t="shared" si="0"/>
        <v>1 - 980 Fixed</v>
      </c>
      <c r="C27" s="6">
        <v>5008</v>
      </c>
      <c r="D27" s="3" t="str">
        <f t="shared" si="1"/>
        <v>5008 - Direct Labor</v>
      </c>
      <c r="E27" s="4" t="s">
        <v>14</v>
      </c>
      <c r="F27" s="4" t="s">
        <v>21</v>
      </c>
      <c r="G27" s="5">
        <v>8</v>
      </c>
      <c r="H27" s="5">
        <v>208</v>
      </c>
    </row>
    <row r="28" spans="1:11" x14ac:dyDescent="0.3">
      <c r="A28" s="6">
        <v>1</v>
      </c>
      <c r="B28" s="3" t="str">
        <f t="shared" si="0"/>
        <v>1 - 980 Fixed</v>
      </c>
      <c r="C28" s="6">
        <v>5008</v>
      </c>
      <c r="D28" s="3" t="str">
        <f t="shared" si="1"/>
        <v>5008 - Direct Labor</v>
      </c>
      <c r="E28" s="4" t="s">
        <v>18</v>
      </c>
      <c r="F28" s="4" t="s">
        <v>21</v>
      </c>
      <c r="G28" s="5">
        <v>32</v>
      </c>
      <c r="H28" s="5">
        <v>1024</v>
      </c>
    </row>
    <row r="29" spans="1:11" x14ac:dyDescent="0.3">
      <c r="A29" s="6">
        <v>1</v>
      </c>
      <c r="B29" s="3" t="str">
        <f t="shared" si="0"/>
        <v>1 - 980 Fixed</v>
      </c>
      <c r="C29" s="6">
        <v>5009</v>
      </c>
      <c r="D29" s="3" t="str">
        <f t="shared" si="1"/>
        <v>5009 - Indirect Labor</v>
      </c>
      <c r="E29" s="4" t="s">
        <v>22</v>
      </c>
      <c r="F29" s="4" t="s">
        <v>7</v>
      </c>
      <c r="G29" s="5">
        <v>68</v>
      </c>
      <c r="H29" s="5">
        <v>1904</v>
      </c>
    </row>
    <row r="30" spans="1:11" x14ac:dyDescent="0.3">
      <c r="A30" s="6">
        <v>1</v>
      </c>
      <c r="B30" s="3" t="str">
        <f t="shared" si="0"/>
        <v>1 - 980 Fixed</v>
      </c>
      <c r="C30" s="6">
        <v>5009</v>
      </c>
      <c r="D30" s="3" t="str">
        <f t="shared" si="1"/>
        <v>5009 - Indirect Labor</v>
      </c>
      <c r="E30" s="4" t="s">
        <v>23</v>
      </c>
      <c r="F30" s="4" t="s">
        <v>7</v>
      </c>
      <c r="G30" s="5">
        <v>0</v>
      </c>
      <c r="H30" s="5">
        <v>1922.83</v>
      </c>
    </row>
    <row r="31" spans="1:11" x14ac:dyDescent="0.3">
      <c r="A31" s="6">
        <v>1</v>
      </c>
      <c r="B31" s="3" t="str">
        <f t="shared" si="0"/>
        <v>1 - 980 Fixed</v>
      </c>
      <c r="C31" s="6">
        <v>5009</v>
      </c>
      <c r="D31" s="3" t="str">
        <f t="shared" si="1"/>
        <v>5009 - Indirect Labor</v>
      </c>
      <c r="E31" s="4" t="s">
        <v>24</v>
      </c>
      <c r="F31" s="4" t="s">
        <v>7</v>
      </c>
      <c r="G31" s="5">
        <v>80</v>
      </c>
      <c r="H31" s="5">
        <v>3076.93</v>
      </c>
    </row>
    <row r="32" spans="1:11" x14ac:dyDescent="0.3">
      <c r="A32" s="6">
        <v>1</v>
      </c>
      <c r="B32" s="3" t="str">
        <f t="shared" si="0"/>
        <v>1 - 980 Fixed</v>
      </c>
      <c r="C32" s="6">
        <v>5009</v>
      </c>
      <c r="D32" s="3" t="str">
        <f t="shared" si="1"/>
        <v>5009 - Indirect Labor</v>
      </c>
      <c r="E32" s="4" t="s">
        <v>25</v>
      </c>
      <c r="F32" s="4" t="s">
        <v>7</v>
      </c>
      <c r="G32" s="5">
        <v>80</v>
      </c>
      <c r="H32" s="5">
        <v>1840</v>
      </c>
    </row>
    <row r="33" spans="1:8" x14ac:dyDescent="0.3">
      <c r="A33" s="6">
        <v>1</v>
      </c>
      <c r="B33" s="3" t="str">
        <f t="shared" si="0"/>
        <v>1 - 980 Fixed</v>
      </c>
      <c r="C33" s="6">
        <v>5009</v>
      </c>
      <c r="D33" s="3" t="str">
        <f t="shared" si="1"/>
        <v>5009 - Indirect Labor</v>
      </c>
      <c r="E33" s="4" t="s">
        <v>26</v>
      </c>
      <c r="F33" s="4" t="s">
        <v>7</v>
      </c>
      <c r="G33" s="5">
        <v>36</v>
      </c>
      <c r="H33" s="5">
        <v>1107.69</v>
      </c>
    </row>
    <row r="34" spans="1:8" x14ac:dyDescent="0.3">
      <c r="A34" s="6">
        <v>1</v>
      </c>
      <c r="B34" s="3" t="str">
        <f t="shared" si="0"/>
        <v>1 - 980 Fixed</v>
      </c>
      <c r="C34" s="6">
        <v>5009</v>
      </c>
      <c r="D34" s="3" t="str">
        <f t="shared" si="1"/>
        <v>5009 - Indirect Labor</v>
      </c>
      <c r="E34" s="4" t="s">
        <v>22</v>
      </c>
      <c r="F34" s="4" t="s">
        <v>20</v>
      </c>
      <c r="G34" s="5">
        <v>9.32</v>
      </c>
      <c r="H34" s="5">
        <v>391.27</v>
      </c>
    </row>
    <row r="35" spans="1:8" x14ac:dyDescent="0.3">
      <c r="A35" s="6">
        <v>1</v>
      </c>
      <c r="B35" s="3" t="str">
        <f t="shared" si="0"/>
        <v>1 - 980 Fixed</v>
      </c>
      <c r="C35" s="6">
        <v>5009</v>
      </c>
      <c r="D35" s="3" t="str">
        <f t="shared" si="1"/>
        <v>5009 - Indirect Labor</v>
      </c>
      <c r="E35" s="4" t="s">
        <v>25</v>
      </c>
      <c r="F35" s="4" t="s">
        <v>20</v>
      </c>
      <c r="G35" s="5">
        <v>9.24</v>
      </c>
      <c r="H35" s="5">
        <v>318.77999999999997</v>
      </c>
    </row>
    <row r="36" spans="1:8" x14ac:dyDescent="0.3">
      <c r="A36" s="6">
        <v>1</v>
      </c>
      <c r="B36" s="3" t="str">
        <f t="shared" si="0"/>
        <v>1 - 980 Fixed</v>
      </c>
      <c r="C36" s="6">
        <v>5009</v>
      </c>
      <c r="D36" s="3" t="str">
        <f t="shared" si="1"/>
        <v>5009 - Indirect Labor</v>
      </c>
      <c r="E36" s="4" t="s">
        <v>26</v>
      </c>
      <c r="F36" s="4" t="s">
        <v>21</v>
      </c>
      <c r="G36" s="5">
        <v>4</v>
      </c>
      <c r="H36" s="5">
        <v>123.08</v>
      </c>
    </row>
    <row r="37" spans="1:8" x14ac:dyDescent="0.3">
      <c r="A37" s="6">
        <v>1</v>
      </c>
      <c r="B37" s="3" t="str">
        <f t="shared" si="0"/>
        <v>1 - 980 Fixed</v>
      </c>
      <c r="C37" s="6">
        <v>5009</v>
      </c>
      <c r="D37" s="3" t="str">
        <f t="shared" si="1"/>
        <v>5009 - Indirect Labor</v>
      </c>
      <c r="E37" s="4" t="s">
        <v>26</v>
      </c>
      <c r="F37" s="4" t="s">
        <v>27</v>
      </c>
      <c r="G37" s="5">
        <v>0</v>
      </c>
      <c r="H37" s="5">
        <v>22.7</v>
      </c>
    </row>
    <row r="38" spans="1:8" x14ac:dyDescent="0.3">
      <c r="A38" s="6">
        <v>1</v>
      </c>
      <c r="B38" s="3" t="str">
        <f t="shared" si="0"/>
        <v>1 - 980 Fixed</v>
      </c>
      <c r="C38" s="6">
        <v>5009</v>
      </c>
      <c r="D38" s="3" t="str">
        <f t="shared" si="1"/>
        <v>5009 - Indirect Labor</v>
      </c>
      <c r="E38" s="4" t="s">
        <v>24</v>
      </c>
      <c r="F38" s="4" t="s">
        <v>28</v>
      </c>
      <c r="G38" s="5">
        <v>0</v>
      </c>
      <c r="H38" s="5">
        <v>4454.1000000000004</v>
      </c>
    </row>
    <row r="39" spans="1:8" x14ac:dyDescent="0.3">
      <c r="A39" s="6">
        <v>1</v>
      </c>
      <c r="B39" s="3" t="str">
        <f t="shared" si="0"/>
        <v>1 - 980 Fixed</v>
      </c>
      <c r="C39" s="6">
        <v>5009</v>
      </c>
      <c r="D39" s="3" t="str">
        <f t="shared" si="1"/>
        <v>5009 - Indirect Labor</v>
      </c>
      <c r="E39" s="4" t="s">
        <v>26</v>
      </c>
      <c r="F39" s="4" t="s">
        <v>28</v>
      </c>
      <c r="G39" s="5">
        <v>0</v>
      </c>
      <c r="H39" s="5">
        <v>750</v>
      </c>
    </row>
    <row r="40" spans="1:8" x14ac:dyDescent="0.3">
      <c r="A40" s="6">
        <v>2</v>
      </c>
      <c r="B40" s="3" t="str">
        <f t="shared" si="0"/>
        <v>2 - 990 Removable</v>
      </c>
      <c r="C40" s="3">
        <v>5008</v>
      </c>
      <c r="D40" s="3" t="str">
        <f t="shared" si="1"/>
        <v>5008 - Direct Labor</v>
      </c>
      <c r="E40" s="4" t="s">
        <v>29</v>
      </c>
      <c r="F40" s="4" t="s">
        <v>30</v>
      </c>
      <c r="G40" s="5">
        <v>0</v>
      </c>
      <c r="H40" s="5">
        <v>1680</v>
      </c>
    </row>
    <row r="41" spans="1:8" x14ac:dyDescent="0.3">
      <c r="A41" s="6">
        <v>2</v>
      </c>
      <c r="B41" s="3" t="str">
        <f t="shared" si="0"/>
        <v>2 - 990 Removable</v>
      </c>
      <c r="C41" s="6">
        <v>5008</v>
      </c>
      <c r="D41" s="3" t="str">
        <f t="shared" si="1"/>
        <v>5008 - Direct Labor</v>
      </c>
      <c r="E41" s="4" t="s">
        <v>8</v>
      </c>
      <c r="F41" s="4" t="s">
        <v>7</v>
      </c>
      <c r="G41" s="5">
        <v>37.049999999999997</v>
      </c>
      <c r="H41" s="5">
        <v>833.62</v>
      </c>
    </row>
    <row r="42" spans="1:8" x14ac:dyDescent="0.3">
      <c r="A42" s="6">
        <v>2</v>
      </c>
      <c r="B42" s="3" t="str">
        <f t="shared" si="0"/>
        <v>2 - 990 Removable</v>
      </c>
      <c r="C42" s="6">
        <v>5008</v>
      </c>
      <c r="D42" s="3" t="str">
        <f t="shared" si="1"/>
        <v>5008 - Direct Labor</v>
      </c>
      <c r="E42" s="4" t="s">
        <v>31</v>
      </c>
      <c r="F42" s="4" t="s">
        <v>7</v>
      </c>
      <c r="G42" s="5">
        <v>69.430000000000007</v>
      </c>
      <c r="H42" s="5">
        <v>1041.45</v>
      </c>
    </row>
    <row r="43" spans="1:8" x14ac:dyDescent="0.3">
      <c r="A43" s="6">
        <v>2</v>
      </c>
      <c r="B43" s="3" t="str">
        <f t="shared" si="0"/>
        <v>2 - 990 Removable</v>
      </c>
      <c r="C43" s="6">
        <v>5008</v>
      </c>
      <c r="D43" s="3" t="str">
        <f t="shared" si="1"/>
        <v>5008 - Direct Labor</v>
      </c>
      <c r="E43" s="4" t="s">
        <v>32</v>
      </c>
      <c r="F43" s="4" t="s">
        <v>7</v>
      </c>
      <c r="G43" s="5">
        <v>76.3</v>
      </c>
      <c r="H43" s="5">
        <v>1144.5</v>
      </c>
    </row>
    <row r="44" spans="1:8" x14ac:dyDescent="0.3">
      <c r="A44" s="6">
        <v>2</v>
      </c>
      <c r="B44" s="3" t="str">
        <f t="shared" si="0"/>
        <v>2 - 990 Removable</v>
      </c>
      <c r="C44" s="6">
        <v>5008</v>
      </c>
      <c r="D44" s="3" t="str">
        <f t="shared" si="1"/>
        <v>5008 - Direct Labor</v>
      </c>
      <c r="E44" s="4" t="s">
        <v>33</v>
      </c>
      <c r="F44" s="4" t="s">
        <v>7</v>
      </c>
      <c r="G44" s="5">
        <v>66.95</v>
      </c>
      <c r="H44" s="5">
        <v>1539.85</v>
      </c>
    </row>
    <row r="45" spans="1:8" x14ac:dyDescent="0.3">
      <c r="A45" s="6">
        <v>2</v>
      </c>
      <c r="B45" s="3" t="str">
        <f t="shared" si="0"/>
        <v>2 - 990 Removable</v>
      </c>
      <c r="C45" s="6">
        <v>5008</v>
      </c>
      <c r="D45" s="3" t="str">
        <f t="shared" si="1"/>
        <v>5008 - Direct Labor</v>
      </c>
      <c r="E45" s="4" t="s">
        <v>12</v>
      </c>
      <c r="F45" s="4" t="s">
        <v>7</v>
      </c>
      <c r="G45" s="5">
        <v>20</v>
      </c>
      <c r="H45" s="5">
        <v>340</v>
      </c>
    </row>
    <row r="46" spans="1:8" x14ac:dyDescent="0.3">
      <c r="A46" s="6">
        <v>2</v>
      </c>
      <c r="B46" s="3" t="str">
        <f t="shared" si="0"/>
        <v>2 - 990 Removable</v>
      </c>
      <c r="C46" s="6">
        <v>5008</v>
      </c>
      <c r="D46" s="3" t="str">
        <f t="shared" si="1"/>
        <v>5008 - Direct Labor</v>
      </c>
      <c r="E46" s="4" t="s">
        <v>13</v>
      </c>
      <c r="F46" s="4" t="s">
        <v>7</v>
      </c>
      <c r="G46" s="5">
        <v>40</v>
      </c>
      <c r="H46" s="5">
        <v>800</v>
      </c>
    </row>
    <row r="47" spans="1:8" x14ac:dyDescent="0.3">
      <c r="A47" s="6">
        <v>2</v>
      </c>
      <c r="B47" s="3" t="str">
        <f t="shared" si="0"/>
        <v>2 - 990 Removable</v>
      </c>
      <c r="C47" s="6">
        <v>5008</v>
      </c>
      <c r="D47" s="3" t="str">
        <f t="shared" si="1"/>
        <v>5008 - Direct Labor</v>
      </c>
      <c r="E47" s="4" t="s">
        <v>14</v>
      </c>
      <c r="F47" s="4" t="s">
        <v>7</v>
      </c>
      <c r="G47" s="5">
        <v>29.85</v>
      </c>
      <c r="H47" s="5">
        <v>776.1</v>
      </c>
    </row>
    <row r="48" spans="1:8" x14ac:dyDescent="0.3">
      <c r="A48" s="6">
        <v>2</v>
      </c>
      <c r="B48" s="3" t="str">
        <f t="shared" si="0"/>
        <v>2 - 990 Removable</v>
      </c>
      <c r="C48" s="6">
        <v>5008</v>
      </c>
      <c r="D48" s="3" t="str">
        <f t="shared" si="1"/>
        <v>5008 - Direct Labor</v>
      </c>
      <c r="E48" s="4" t="s">
        <v>15</v>
      </c>
      <c r="F48" s="4" t="s">
        <v>7</v>
      </c>
      <c r="G48" s="5">
        <v>20</v>
      </c>
      <c r="H48" s="5">
        <v>340</v>
      </c>
    </row>
    <row r="49" spans="1:8" x14ac:dyDescent="0.3">
      <c r="A49" s="6">
        <v>2</v>
      </c>
      <c r="B49" s="3" t="str">
        <f t="shared" si="0"/>
        <v>2 - 990 Removable</v>
      </c>
      <c r="C49" s="6">
        <v>5008</v>
      </c>
      <c r="D49" s="3" t="str">
        <f t="shared" si="1"/>
        <v>5008 - Direct Labor</v>
      </c>
      <c r="E49" s="4" t="s">
        <v>34</v>
      </c>
      <c r="F49" s="4" t="s">
        <v>7</v>
      </c>
      <c r="G49" s="5">
        <v>66.55</v>
      </c>
      <c r="H49" s="5">
        <v>1331</v>
      </c>
    </row>
    <row r="50" spans="1:8" x14ac:dyDescent="0.3">
      <c r="A50" s="6">
        <v>2</v>
      </c>
      <c r="B50" s="3" t="str">
        <f t="shared" si="0"/>
        <v>2 - 990 Removable</v>
      </c>
      <c r="C50" s="6">
        <v>5008</v>
      </c>
      <c r="D50" s="3" t="str">
        <f t="shared" si="1"/>
        <v>5008 - Direct Labor</v>
      </c>
      <c r="E50" s="4" t="s">
        <v>17</v>
      </c>
      <c r="F50" s="4" t="s">
        <v>7</v>
      </c>
      <c r="G50" s="5">
        <v>8.0299999999999994</v>
      </c>
      <c r="H50" s="5">
        <v>136.51</v>
      </c>
    </row>
    <row r="51" spans="1:8" x14ac:dyDescent="0.3">
      <c r="A51" s="6">
        <v>2</v>
      </c>
      <c r="B51" s="3" t="str">
        <f t="shared" si="0"/>
        <v>2 - 990 Removable</v>
      </c>
      <c r="C51" s="6">
        <v>5008</v>
      </c>
      <c r="D51" s="3" t="str">
        <f t="shared" si="1"/>
        <v>5008 - Direct Labor</v>
      </c>
      <c r="E51" s="4" t="s">
        <v>29</v>
      </c>
      <c r="F51" s="4" t="s">
        <v>7</v>
      </c>
      <c r="G51" s="5">
        <v>85.41</v>
      </c>
      <c r="H51" s="5">
        <v>2562.3000000000002</v>
      </c>
    </row>
    <row r="52" spans="1:8" x14ac:dyDescent="0.3">
      <c r="A52" s="6">
        <v>2</v>
      </c>
      <c r="B52" s="3" t="str">
        <f t="shared" si="0"/>
        <v>2 - 990 Removable</v>
      </c>
      <c r="C52" s="6">
        <v>5008</v>
      </c>
      <c r="D52" s="3" t="str">
        <f t="shared" si="1"/>
        <v>5008 - Direct Labor</v>
      </c>
      <c r="E52" s="4" t="s">
        <v>35</v>
      </c>
      <c r="F52" s="4" t="s">
        <v>7</v>
      </c>
      <c r="G52" s="5">
        <v>71.11</v>
      </c>
      <c r="H52" s="5">
        <v>1137.76</v>
      </c>
    </row>
    <row r="53" spans="1:8" x14ac:dyDescent="0.3">
      <c r="A53" s="6">
        <v>2</v>
      </c>
      <c r="B53" s="3" t="str">
        <f t="shared" si="0"/>
        <v>2 - 990 Removable</v>
      </c>
      <c r="C53" s="6">
        <v>5008</v>
      </c>
      <c r="D53" s="3" t="str">
        <f t="shared" si="1"/>
        <v>5008 - Direct Labor</v>
      </c>
      <c r="E53" s="4" t="s">
        <v>36</v>
      </c>
      <c r="F53" s="4" t="s">
        <v>7</v>
      </c>
      <c r="G53" s="5">
        <v>80</v>
      </c>
      <c r="H53" s="5">
        <v>2000</v>
      </c>
    </row>
    <row r="54" spans="1:8" x14ac:dyDescent="0.3">
      <c r="A54" s="6">
        <v>2</v>
      </c>
      <c r="B54" s="3" t="str">
        <f t="shared" si="0"/>
        <v>2 - 990 Removable</v>
      </c>
      <c r="C54" s="6">
        <v>5008</v>
      </c>
      <c r="D54" s="3" t="str">
        <f t="shared" si="1"/>
        <v>5008 - Direct Labor</v>
      </c>
      <c r="E54" s="4" t="s">
        <v>37</v>
      </c>
      <c r="F54" s="4" t="s">
        <v>7</v>
      </c>
      <c r="G54" s="5">
        <v>80</v>
      </c>
      <c r="H54" s="5">
        <v>2320</v>
      </c>
    </row>
    <row r="55" spans="1:8" x14ac:dyDescent="0.3">
      <c r="A55" s="6">
        <v>2</v>
      </c>
      <c r="B55" s="3" t="str">
        <f t="shared" si="0"/>
        <v>2 - 990 Removable</v>
      </c>
      <c r="C55" s="6">
        <v>5008</v>
      </c>
      <c r="D55" s="3" t="str">
        <f t="shared" si="1"/>
        <v>5008 - Direct Labor</v>
      </c>
      <c r="E55" s="4" t="s">
        <v>38</v>
      </c>
      <c r="F55" s="4" t="s">
        <v>7</v>
      </c>
      <c r="G55" s="5">
        <v>80</v>
      </c>
      <c r="H55" s="5">
        <v>1280</v>
      </c>
    </row>
    <row r="56" spans="1:8" x14ac:dyDescent="0.3">
      <c r="A56" s="6">
        <v>2</v>
      </c>
      <c r="B56" s="3" t="str">
        <f t="shared" si="0"/>
        <v>2 - 990 Removable</v>
      </c>
      <c r="C56" s="6">
        <v>5008</v>
      </c>
      <c r="D56" s="3" t="str">
        <f t="shared" si="1"/>
        <v>5008 - Direct Labor</v>
      </c>
      <c r="E56" s="4" t="s">
        <v>39</v>
      </c>
      <c r="F56" s="4" t="s">
        <v>7</v>
      </c>
      <c r="G56" s="5">
        <v>73.84</v>
      </c>
      <c r="H56" s="5">
        <v>1107.5999999999999</v>
      </c>
    </row>
    <row r="57" spans="1:8" x14ac:dyDescent="0.3">
      <c r="A57" s="6">
        <v>2</v>
      </c>
      <c r="B57" s="3" t="str">
        <f t="shared" si="0"/>
        <v>2 - 990 Removable</v>
      </c>
      <c r="C57" s="6">
        <v>5008</v>
      </c>
      <c r="D57" s="3" t="str">
        <f t="shared" si="1"/>
        <v>5008 - Direct Labor</v>
      </c>
      <c r="E57" s="4" t="s">
        <v>40</v>
      </c>
      <c r="F57" s="4" t="s">
        <v>7</v>
      </c>
      <c r="G57" s="5">
        <v>80</v>
      </c>
      <c r="H57" s="5">
        <v>1120</v>
      </c>
    </row>
    <row r="58" spans="1:8" x14ac:dyDescent="0.3">
      <c r="A58" s="6">
        <v>2</v>
      </c>
      <c r="B58" s="3" t="str">
        <f t="shared" si="0"/>
        <v>2 - 990 Removable</v>
      </c>
      <c r="C58" s="6">
        <v>5008</v>
      </c>
      <c r="D58" s="3" t="str">
        <f t="shared" si="1"/>
        <v>5008 - Direct Labor</v>
      </c>
      <c r="E58" s="4" t="s">
        <v>19</v>
      </c>
      <c r="F58" s="4" t="s">
        <v>7</v>
      </c>
      <c r="G58" s="5">
        <v>35.729999999999997</v>
      </c>
      <c r="H58" s="5">
        <v>607.41</v>
      </c>
    </row>
    <row r="59" spans="1:8" x14ac:dyDescent="0.3">
      <c r="A59" s="6">
        <v>2</v>
      </c>
      <c r="B59" s="3" t="str">
        <f t="shared" si="0"/>
        <v>2 - 990 Removable</v>
      </c>
      <c r="C59" s="6">
        <v>5008</v>
      </c>
      <c r="D59" s="3" t="str">
        <f t="shared" si="1"/>
        <v>5008 - Direct Labor</v>
      </c>
      <c r="E59" s="4" t="s">
        <v>8</v>
      </c>
      <c r="F59" s="4" t="s">
        <v>20</v>
      </c>
      <c r="G59" s="5">
        <v>2.1</v>
      </c>
      <c r="H59" s="5">
        <v>71.040000000000006</v>
      </c>
    </row>
    <row r="60" spans="1:8" x14ac:dyDescent="0.3">
      <c r="A60" s="6">
        <v>2</v>
      </c>
      <c r="B60" s="3" t="str">
        <f t="shared" si="0"/>
        <v>2 - 990 Removable</v>
      </c>
      <c r="C60" s="6">
        <v>5008</v>
      </c>
      <c r="D60" s="3" t="str">
        <f t="shared" si="1"/>
        <v>5008 - Direct Labor</v>
      </c>
      <c r="E60" s="4" t="s">
        <v>32</v>
      </c>
      <c r="F60" s="4" t="s">
        <v>20</v>
      </c>
      <c r="G60" s="5">
        <v>2.09</v>
      </c>
      <c r="H60" s="5">
        <v>47.03</v>
      </c>
    </row>
    <row r="61" spans="1:8" x14ac:dyDescent="0.3">
      <c r="A61" s="6">
        <v>2</v>
      </c>
      <c r="B61" s="3" t="str">
        <f t="shared" si="0"/>
        <v>2 - 990 Removable</v>
      </c>
      <c r="C61" s="6">
        <v>5008</v>
      </c>
      <c r="D61" s="3" t="str">
        <f t="shared" si="1"/>
        <v>5008 - Direct Labor</v>
      </c>
      <c r="E61" s="4" t="s">
        <v>33</v>
      </c>
      <c r="F61" s="4" t="s">
        <v>20</v>
      </c>
      <c r="G61" s="5">
        <v>6.05</v>
      </c>
      <c r="H61" s="5">
        <v>208.73</v>
      </c>
    </row>
    <row r="62" spans="1:8" x14ac:dyDescent="0.3">
      <c r="A62" s="6">
        <v>2</v>
      </c>
      <c r="B62" s="3" t="str">
        <f t="shared" si="0"/>
        <v>2 - 990 Removable</v>
      </c>
      <c r="C62" s="6">
        <v>5008</v>
      </c>
      <c r="D62" s="3" t="str">
        <f t="shared" si="1"/>
        <v>5008 - Direct Labor</v>
      </c>
      <c r="E62" s="4" t="s">
        <v>12</v>
      </c>
      <c r="F62" s="4" t="s">
        <v>20</v>
      </c>
      <c r="G62" s="5">
        <v>0.83</v>
      </c>
      <c r="H62" s="5">
        <v>21.1</v>
      </c>
    </row>
    <row r="63" spans="1:8" x14ac:dyDescent="0.3">
      <c r="A63" s="6">
        <v>2</v>
      </c>
      <c r="B63" s="3" t="str">
        <f t="shared" si="0"/>
        <v>2 - 990 Removable</v>
      </c>
      <c r="C63" s="6">
        <v>5008</v>
      </c>
      <c r="D63" s="3" t="str">
        <f t="shared" si="1"/>
        <v>5008 - Direct Labor</v>
      </c>
      <c r="E63" s="4" t="s">
        <v>13</v>
      </c>
      <c r="F63" s="4" t="s">
        <v>20</v>
      </c>
      <c r="G63" s="5">
        <v>2.78</v>
      </c>
      <c r="H63" s="5">
        <v>83.4</v>
      </c>
    </row>
    <row r="64" spans="1:8" x14ac:dyDescent="0.3">
      <c r="A64" s="6">
        <v>2</v>
      </c>
      <c r="B64" s="3" t="str">
        <f t="shared" si="0"/>
        <v>2 - 990 Removable</v>
      </c>
      <c r="C64" s="6">
        <v>5008</v>
      </c>
      <c r="D64" s="3" t="str">
        <f t="shared" si="1"/>
        <v>5008 - Direct Labor</v>
      </c>
      <c r="E64" s="4" t="s">
        <v>15</v>
      </c>
      <c r="F64" s="4" t="s">
        <v>20</v>
      </c>
      <c r="G64" s="5">
        <v>0.96</v>
      </c>
      <c r="H64" s="5">
        <v>24.42</v>
      </c>
    </row>
    <row r="65" spans="1:8" x14ac:dyDescent="0.3">
      <c r="A65" s="6">
        <v>2</v>
      </c>
      <c r="B65" s="3" t="str">
        <f t="shared" si="0"/>
        <v>2 - 990 Removable</v>
      </c>
      <c r="C65" s="6">
        <v>5008</v>
      </c>
      <c r="D65" s="3" t="str">
        <f t="shared" si="1"/>
        <v>5008 - Direct Labor</v>
      </c>
      <c r="E65" s="4" t="s">
        <v>29</v>
      </c>
      <c r="F65" s="4" t="s">
        <v>20</v>
      </c>
      <c r="G65" s="5">
        <v>11.14</v>
      </c>
      <c r="H65" s="5">
        <v>501.3</v>
      </c>
    </row>
    <row r="66" spans="1:8" x14ac:dyDescent="0.3">
      <c r="A66" s="6">
        <v>2</v>
      </c>
      <c r="B66" s="3" t="str">
        <f t="shared" si="0"/>
        <v>2 - 990 Removable</v>
      </c>
      <c r="C66" s="6">
        <v>5008</v>
      </c>
      <c r="D66" s="3" t="str">
        <f t="shared" si="1"/>
        <v>5008 - Direct Labor</v>
      </c>
      <c r="E66" s="4" t="s">
        <v>36</v>
      </c>
      <c r="F66" s="4" t="s">
        <v>20</v>
      </c>
      <c r="G66" s="5">
        <v>1.85</v>
      </c>
      <c r="H66" s="5">
        <v>69.38</v>
      </c>
    </row>
    <row r="67" spans="1:8" x14ac:dyDescent="0.3">
      <c r="A67" s="6">
        <v>2</v>
      </c>
      <c r="B67" s="3" t="str">
        <f t="shared" ref="B67:B118" si="2">IF(E67="High, Breanna Medlock","BREE HIGH",IF(E67="Marsh, Ronson","RONSON MARSH",IF(E67="Waddell, Daniel Vaughn","DANIEL WADDELL",IF(E67="Grubb, Daxton C","DAXTON GRUBB",_xlfn.XLOOKUP(A67,$J$1:$J$7,$K$1:$K$7)))))</f>
        <v>2 - 990 Removable</v>
      </c>
      <c r="C67" s="6">
        <v>5008</v>
      </c>
      <c r="D67" s="3" t="str">
        <f t="shared" ref="D67:D118" si="3">_xlfn.XLOOKUP(C67,$J$9:$J$19,$K$9:$K$19)</f>
        <v>5008 - Direct Labor</v>
      </c>
      <c r="E67" s="4" t="s">
        <v>37</v>
      </c>
      <c r="F67" s="4" t="s">
        <v>20</v>
      </c>
      <c r="G67" s="5">
        <v>5.36</v>
      </c>
      <c r="H67" s="5">
        <v>233.16</v>
      </c>
    </row>
    <row r="68" spans="1:8" x14ac:dyDescent="0.3">
      <c r="A68" s="6">
        <v>2</v>
      </c>
      <c r="B68" s="3" t="str">
        <f t="shared" si="2"/>
        <v>2 - 990 Removable</v>
      </c>
      <c r="C68" s="6">
        <v>5008</v>
      </c>
      <c r="D68" s="3" t="str">
        <f t="shared" si="3"/>
        <v>5008 - Direct Labor</v>
      </c>
      <c r="E68" s="4" t="s">
        <v>38</v>
      </c>
      <c r="F68" s="4" t="s">
        <v>20</v>
      </c>
      <c r="G68" s="5">
        <v>13.01</v>
      </c>
      <c r="H68" s="5">
        <v>312.24</v>
      </c>
    </row>
    <row r="69" spans="1:8" x14ac:dyDescent="0.3">
      <c r="A69" s="6">
        <v>2</v>
      </c>
      <c r="B69" s="3" t="str">
        <f t="shared" si="2"/>
        <v>2 - 990 Removable</v>
      </c>
      <c r="C69" s="6">
        <v>5008</v>
      </c>
      <c r="D69" s="3" t="str">
        <f t="shared" si="3"/>
        <v>5008 - Direct Labor</v>
      </c>
      <c r="E69" s="4" t="s">
        <v>39</v>
      </c>
      <c r="F69" s="4" t="s">
        <v>20</v>
      </c>
      <c r="G69" s="5">
        <v>3.56</v>
      </c>
      <c r="H69" s="5">
        <v>80.099999999999994</v>
      </c>
    </row>
    <row r="70" spans="1:8" x14ac:dyDescent="0.3">
      <c r="A70" s="6">
        <v>2</v>
      </c>
      <c r="B70" s="3" t="str">
        <f t="shared" si="2"/>
        <v>2 - 990 Removable</v>
      </c>
      <c r="C70" s="6">
        <v>5008</v>
      </c>
      <c r="D70" s="3" t="str">
        <f t="shared" si="3"/>
        <v>5008 - Direct Labor</v>
      </c>
      <c r="E70" s="4" t="s">
        <v>40</v>
      </c>
      <c r="F70" s="4" t="s">
        <v>20</v>
      </c>
      <c r="G70" s="5">
        <v>0.92</v>
      </c>
      <c r="H70" s="5">
        <v>19.32</v>
      </c>
    </row>
    <row r="71" spans="1:8" x14ac:dyDescent="0.3">
      <c r="A71" s="6">
        <v>2</v>
      </c>
      <c r="B71" s="3" t="str">
        <f t="shared" si="2"/>
        <v>2 - 990 Removable</v>
      </c>
      <c r="C71" s="6">
        <v>5008</v>
      </c>
      <c r="D71" s="3" t="str">
        <f t="shared" si="3"/>
        <v>5008 - Direct Labor</v>
      </c>
      <c r="E71" s="4" t="s">
        <v>19</v>
      </c>
      <c r="F71" s="4" t="s">
        <v>20</v>
      </c>
      <c r="G71" s="5">
        <v>0.22</v>
      </c>
      <c r="H71" s="5">
        <v>5.49</v>
      </c>
    </row>
    <row r="72" spans="1:8" x14ac:dyDescent="0.3">
      <c r="A72" s="6">
        <v>2</v>
      </c>
      <c r="B72" s="3" t="str">
        <f t="shared" si="2"/>
        <v>2 - 990 Removable</v>
      </c>
      <c r="C72" s="6">
        <v>5008</v>
      </c>
      <c r="D72" s="3" t="str">
        <f t="shared" si="3"/>
        <v>5008 - Direct Labor</v>
      </c>
      <c r="E72" s="4" t="s">
        <v>33</v>
      </c>
      <c r="F72" s="4" t="s">
        <v>21</v>
      </c>
      <c r="G72" s="5">
        <v>16</v>
      </c>
      <c r="H72" s="5">
        <v>368</v>
      </c>
    </row>
    <row r="73" spans="1:8" x14ac:dyDescent="0.3">
      <c r="A73" s="6">
        <v>2</v>
      </c>
      <c r="B73" s="3" t="str">
        <f t="shared" si="2"/>
        <v>2 - 990 Removable</v>
      </c>
      <c r="C73" s="6">
        <v>5008</v>
      </c>
      <c r="D73" s="3" t="str">
        <f t="shared" si="3"/>
        <v>5008 - Direct Labor</v>
      </c>
      <c r="E73" s="4" t="s">
        <v>14</v>
      </c>
      <c r="F73" s="4" t="s">
        <v>21</v>
      </c>
      <c r="G73" s="5">
        <v>24</v>
      </c>
      <c r="H73" s="5">
        <v>624</v>
      </c>
    </row>
    <row r="74" spans="1:8" x14ac:dyDescent="0.3">
      <c r="A74" s="6">
        <v>2</v>
      </c>
      <c r="B74" s="3" t="str">
        <f t="shared" si="2"/>
        <v>2 - 990 Removable</v>
      </c>
      <c r="C74" s="6">
        <v>5008</v>
      </c>
      <c r="D74" s="3" t="str">
        <f t="shared" si="3"/>
        <v>5008 - Direct Labor</v>
      </c>
      <c r="E74" s="4" t="s">
        <v>39</v>
      </c>
      <c r="F74" s="4" t="s">
        <v>21</v>
      </c>
      <c r="G74" s="5">
        <v>8</v>
      </c>
      <c r="H74" s="5">
        <v>120</v>
      </c>
    </row>
    <row r="75" spans="1:8" x14ac:dyDescent="0.3">
      <c r="A75" s="6">
        <v>2</v>
      </c>
      <c r="B75" s="3" t="str">
        <f t="shared" si="2"/>
        <v>2 - 990 Removable</v>
      </c>
      <c r="C75" s="6">
        <v>5009</v>
      </c>
      <c r="D75" s="3" t="str">
        <f t="shared" si="3"/>
        <v>5009 - Indirect Labor</v>
      </c>
      <c r="E75" s="4" t="s">
        <v>22</v>
      </c>
      <c r="F75" s="4" t="s">
        <v>7</v>
      </c>
      <c r="G75" s="5">
        <v>12</v>
      </c>
      <c r="H75" s="5">
        <v>336</v>
      </c>
    </row>
    <row r="76" spans="1:8" x14ac:dyDescent="0.3">
      <c r="A76" s="6">
        <v>2</v>
      </c>
      <c r="B76" s="3" t="str">
        <f t="shared" si="2"/>
        <v>2 - 990 Removable</v>
      </c>
      <c r="C76" s="6">
        <v>5009</v>
      </c>
      <c r="D76" s="3" t="str">
        <f t="shared" si="3"/>
        <v>5009 - Indirect Labor</v>
      </c>
      <c r="E76" s="4" t="s">
        <v>41</v>
      </c>
      <c r="F76" s="4" t="s">
        <v>7</v>
      </c>
      <c r="G76" s="5">
        <v>80</v>
      </c>
      <c r="H76" s="5">
        <v>3076.93</v>
      </c>
    </row>
    <row r="77" spans="1:8" x14ac:dyDescent="0.3">
      <c r="A77" s="6">
        <v>2</v>
      </c>
      <c r="B77" s="3" t="str">
        <f t="shared" si="2"/>
        <v>2 - 990 Removable</v>
      </c>
      <c r="C77" s="6">
        <v>5009</v>
      </c>
      <c r="D77" s="3" t="str">
        <f t="shared" si="3"/>
        <v>5009 - Indirect Labor</v>
      </c>
      <c r="E77" s="4" t="s">
        <v>42</v>
      </c>
      <c r="F77" s="4" t="s">
        <v>7</v>
      </c>
      <c r="G77" s="5">
        <v>80</v>
      </c>
      <c r="H77" s="5">
        <v>1600</v>
      </c>
    </row>
    <row r="78" spans="1:8" x14ac:dyDescent="0.3">
      <c r="A78" s="6">
        <v>2</v>
      </c>
      <c r="B78" s="3" t="str">
        <f t="shared" si="2"/>
        <v>2 - 990 Removable</v>
      </c>
      <c r="C78" s="6">
        <v>5009</v>
      </c>
      <c r="D78" s="3" t="str">
        <f t="shared" si="3"/>
        <v>5009 - Indirect Labor</v>
      </c>
      <c r="E78" s="4" t="s">
        <v>26</v>
      </c>
      <c r="F78" s="4" t="s">
        <v>7</v>
      </c>
      <c r="G78" s="5">
        <v>36</v>
      </c>
      <c r="H78" s="5">
        <v>1107.69</v>
      </c>
    </row>
    <row r="79" spans="1:8" x14ac:dyDescent="0.3">
      <c r="A79" s="6">
        <v>2</v>
      </c>
      <c r="B79" s="3" t="str">
        <f t="shared" si="2"/>
        <v>2 - 990 Removable</v>
      </c>
      <c r="C79" s="6">
        <v>5009</v>
      </c>
      <c r="D79" s="3" t="str">
        <f t="shared" si="3"/>
        <v>5009 - Indirect Labor</v>
      </c>
      <c r="E79" s="4" t="s">
        <v>22</v>
      </c>
      <c r="F79" s="4" t="s">
        <v>20</v>
      </c>
      <c r="G79" s="5">
        <v>1.64</v>
      </c>
      <c r="H79" s="5">
        <v>69.05</v>
      </c>
    </row>
    <row r="80" spans="1:8" x14ac:dyDescent="0.3">
      <c r="A80" s="6">
        <v>2</v>
      </c>
      <c r="B80" s="3" t="str">
        <f t="shared" si="2"/>
        <v>2 - 990 Removable</v>
      </c>
      <c r="C80" s="6">
        <v>5009</v>
      </c>
      <c r="D80" s="3" t="str">
        <f t="shared" si="3"/>
        <v>5009 - Indirect Labor</v>
      </c>
      <c r="E80" s="4" t="s">
        <v>42</v>
      </c>
      <c r="F80" s="4" t="s">
        <v>20</v>
      </c>
      <c r="G80" s="5">
        <v>4.5</v>
      </c>
      <c r="H80" s="5">
        <v>135</v>
      </c>
    </row>
    <row r="81" spans="1:8" x14ac:dyDescent="0.3">
      <c r="A81" s="6">
        <v>2</v>
      </c>
      <c r="B81" s="3" t="str">
        <f t="shared" si="2"/>
        <v>2 - 990 Removable</v>
      </c>
      <c r="C81" s="6">
        <v>5009</v>
      </c>
      <c r="D81" s="3" t="str">
        <f t="shared" si="3"/>
        <v>5009 - Indirect Labor</v>
      </c>
      <c r="E81" s="4" t="s">
        <v>26</v>
      </c>
      <c r="F81" s="4" t="s">
        <v>21</v>
      </c>
      <c r="G81" s="5">
        <v>4</v>
      </c>
      <c r="H81" s="5">
        <v>123.07</v>
      </c>
    </row>
    <row r="82" spans="1:8" x14ac:dyDescent="0.3">
      <c r="A82" s="6">
        <v>2</v>
      </c>
      <c r="B82" s="3" t="str">
        <f t="shared" si="2"/>
        <v>2 - 990 Removable</v>
      </c>
      <c r="C82" s="6">
        <v>5009</v>
      </c>
      <c r="D82" s="3" t="str">
        <f t="shared" si="3"/>
        <v>5009 - Indirect Labor</v>
      </c>
      <c r="E82" s="4" t="s">
        <v>26</v>
      </c>
      <c r="F82" s="4" t="s">
        <v>27</v>
      </c>
      <c r="G82" s="5">
        <v>0</v>
      </c>
      <c r="H82" s="5">
        <v>22.69</v>
      </c>
    </row>
    <row r="83" spans="1:8" x14ac:dyDescent="0.3">
      <c r="A83" s="6">
        <v>2</v>
      </c>
      <c r="B83" s="3" t="str">
        <f t="shared" si="2"/>
        <v>2 - 990 Removable</v>
      </c>
      <c r="C83" s="6">
        <v>5009</v>
      </c>
      <c r="D83" s="3" t="str">
        <f t="shared" si="3"/>
        <v>5009 - Indirect Labor</v>
      </c>
      <c r="E83" s="4" t="s">
        <v>26</v>
      </c>
      <c r="F83" s="4" t="s">
        <v>28</v>
      </c>
      <c r="G83" s="5">
        <v>0</v>
      </c>
      <c r="H83" s="5">
        <v>750</v>
      </c>
    </row>
    <row r="84" spans="1:8" x14ac:dyDescent="0.3">
      <c r="A84" s="6">
        <v>3</v>
      </c>
      <c r="B84" s="3" t="str">
        <f t="shared" si="2"/>
        <v>3 - 201 Admin</v>
      </c>
      <c r="C84" s="6">
        <v>6001</v>
      </c>
      <c r="D84" s="3" t="str">
        <f t="shared" si="3"/>
        <v>6001 - Admin Wages</v>
      </c>
      <c r="E84" s="4" t="s">
        <v>43</v>
      </c>
      <c r="F84" s="4" t="s">
        <v>7</v>
      </c>
      <c r="G84" s="5">
        <v>76.680000000000007</v>
      </c>
      <c r="H84" s="5">
        <v>1265.22</v>
      </c>
    </row>
    <row r="85" spans="1:8" x14ac:dyDescent="0.3">
      <c r="A85" s="6">
        <v>3</v>
      </c>
      <c r="B85" s="3" t="str">
        <f t="shared" si="2"/>
        <v>3 - 201 Admin</v>
      </c>
      <c r="C85" s="6">
        <v>6001</v>
      </c>
      <c r="D85" s="3" t="str">
        <f t="shared" si="3"/>
        <v>6001 - Admin Wages</v>
      </c>
      <c r="E85" s="4" t="s">
        <v>44</v>
      </c>
      <c r="F85" s="4" t="s">
        <v>7</v>
      </c>
      <c r="G85" s="5">
        <v>80</v>
      </c>
      <c r="H85" s="5">
        <v>2307.6999999999998</v>
      </c>
    </row>
    <row r="86" spans="1:8" x14ac:dyDescent="0.3">
      <c r="A86" s="6">
        <v>3</v>
      </c>
      <c r="B86" s="3" t="str">
        <f t="shared" si="2"/>
        <v>3 - 201 Admin</v>
      </c>
      <c r="C86" s="6">
        <v>6001</v>
      </c>
      <c r="D86" s="3" t="str">
        <f t="shared" si="3"/>
        <v>6001 - Admin Wages</v>
      </c>
      <c r="E86" s="4" t="s">
        <v>45</v>
      </c>
      <c r="F86" s="4" t="s">
        <v>7</v>
      </c>
      <c r="G86" s="5">
        <v>77.61</v>
      </c>
      <c r="H86" s="5">
        <v>1319.37</v>
      </c>
    </row>
    <row r="87" spans="1:8" x14ac:dyDescent="0.3">
      <c r="A87" s="6">
        <v>3</v>
      </c>
      <c r="B87" s="3" t="str">
        <f t="shared" si="2"/>
        <v>3 - 201 Admin</v>
      </c>
      <c r="C87" s="6">
        <v>6001</v>
      </c>
      <c r="D87" s="3" t="str">
        <f t="shared" si="3"/>
        <v>6001 - Admin Wages</v>
      </c>
      <c r="E87" s="4" t="s">
        <v>46</v>
      </c>
      <c r="F87" s="4" t="s">
        <v>7</v>
      </c>
      <c r="G87" s="5">
        <v>61.82</v>
      </c>
      <c r="H87" s="5">
        <v>989.12</v>
      </c>
    </row>
    <row r="88" spans="1:8" x14ac:dyDescent="0.3">
      <c r="A88" s="6">
        <v>3</v>
      </c>
      <c r="B88" s="3" t="str">
        <f t="shared" si="2"/>
        <v>3 - 201 Admin</v>
      </c>
      <c r="C88" s="6">
        <v>6001</v>
      </c>
      <c r="D88" s="3" t="str">
        <f t="shared" si="3"/>
        <v>6001 - Admin Wages</v>
      </c>
      <c r="E88" s="4" t="s">
        <v>47</v>
      </c>
      <c r="F88" s="4" t="s">
        <v>7</v>
      </c>
      <c r="G88" s="5">
        <v>80</v>
      </c>
      <c r="H88" s="5">
        <v>1600</v>
      </c>
    </row>
    <row r="89" spans="1:8" x14ac:dyDescent="0.3">
      <c r="A89" s="6">
        <v>3</v>
      </c>
      <c r="B89" s="3" t="str">
        <f t="shared" si="2"/>
        <v>3 - 201 Admin</v>
      </c>
      <c r="C89" s="6">
        <v>6001</v>
      </c>
      <c r="D89" s="3" t="str">
        <f t="shared" si="3"/>
        <v>6001 - Admin Wages</v>
      </c>
      <c r="E89" s="4" t="s">
        <v>48</v>
      </c>
      <c r="F89" s="4" t="s">
        <v>7</v>
      </c>
      <c r="G89" s="5">
        <v>80</v>
      </c>
      <c r="H89" s="5">
        <v>1280</v>
      </c>
    </row>
    <row r="90" spans="1:8" x14ac:dyDescent="0.3">
      <c r="A90" s="6">
        <v>3</v>
      </c>
      <c r="B90" s="3" t="str">
        <f t="shared" si="2"/>
        <v>3 - 201 Admin</v>
      </c>
      <c r="C90" s="6">
        <v>6001</v>
      </c>
      <c r="D90" s="3" t="str">
        <f t="shared" si="3"/>
        <v>6001 - Admin Wages</v>
      </c>
      <c r="E90" s="4" t="s">
        <v>49</v>
      </c>
      <c r="F90" s="4" t="s">
        <v>7</v>
      </c>
      <c r="G90" s="5">
        <v>54.67</v>
      </c>
      <c r="H90" s="5">
        <v>874.72</v>
      </c>
    </row>
    <row r="91" spans="1:8" x14ac:dyDescent="0.3">
      <c r="A91" s="6">
        <v>3</v>
      </c>
      <c r="B91" s="3" t="str">
        <f t="shared" si="2"/>
        <v>3 - 201 Admin</v>
      </c>
      <c r="C91" s="6">
        <v>6001</v>
      </c>
      <c r="D91" s="3" t="str">
        <f t="shared" si="3"/>
        <v>6001 - Admin Wages</v>
      </c>
      <c r="E91" s="4" t="s">
        <v>45</v>
      </c>
      <c r="F91" s="4" t="s">
        <v>20</v>
      </c>
      <c r="G91" s="5">
        <v>0.53</v>
      </c>
      <c r="H91" s="5">
        <v>13.52</v>
      </c>
    </row>
    <row r="92" spans="1:8" x14ac:dyDescent="0.3">
      <c r="A92" s="6">
        <v>3</v>
      </c>
      <c r="B92" s="3" t="str">
        <f t="shared" si="2"/>
        <v>3 - 201 Admin</v>
      </c>
      <c r="C92" s="6">
        <v>6001</v>
      </c>
      <c r="D92" s="3" t="str">
        <f t="shared" si="3"/>
        <v>6001 - Admin Wages</v>
      </c>
      <c r="E92" s="4" t="s">
        <v>47</v>
      </c>
      <c r="F92" s="4" t="s">
        <v>20</v>
      </c>
      <c r="G92" s="5">
        <v>2.85</v>
      </c>
      <c r="H92" s="5">
        <v>85.5</v>
      </c>
    </row>
    <row r="93" spans="1:8" x14ac:dyDescent="0.3">
      <c r="A93" s="6">
        <v>3</v>
      </c>
      <c r="B93" s="3" t="str">
        <f t="shared" si="2"/>
        <v>3 - 201 Admin</v>
      </c>
      <c r="C93" s="6">
        <v>6001</v>
      </c>
      <c r="D93" s="3" t="str">
        <f t="shared" si="3"/>
        <v>6001 - Admin Wages</v>
      </c>
      <c r="E93" s="4" t="s">
        <v>48</v>
      </c>
      <c r="F93" s="4" t="s">
        <v>20</v>
      </c>
      <c r="G93" s="5">
        <v>4.63</v>
      </c>
      <c r="H93" s="5">
        <v>111.12</v>
      </c>
    </row>
    <row r="94" spans="1:8" x14ac:dyDescent="0.3">
      <c r="A94" s="6">
        <v>3</v>
      </c>
      <c r="B94" s="3" t="str">
        <f t="shared" si="2"/>
        <v>3 - 201 Admin</v>
      </c>
      <c r="C94" s="6">
        <v>6001</v>
      </c>
      <c r="D94" s="3" t="str">
        <f t="shared" si="3"/>
        <v>6001 - Admin Wages</v>
      </c>
      <c r="E94" s="4" t="s">
        <v>43</v>
      </c>
      <c r="F94" s="4" t="s">
        <v>21</v>
      </c>
      <c r="G94" s="5">
        <v>3</v>
      </c>
      <c r="H94" s="5">
        <v>49.5</v>
      </c>
    </row>
    <row r="95" spans="1:8" x14ac:dyDescent="0.3">
      <c r="A95" s="6">
        <v>3</v>
      </c>
      <c r="B95" s="3" t="str">
        <f t="shared" si="2"/>
        <v>3 - 201 Admin</v>
      </c>
      <c r="C95" s="6">
        <v>6001</v>
      </c>
      <c r="D95" s="3" t="str">
        <f t="shared" si="3"/>
        <v>6001 - Admin Wages</v>
      </c>
      <c r="E95" s="4" t="s">
        <v>44</v>
      </c>
      <c r="F95" s="4" t="s">
        <v>28</v>
      </c>
      <c r="G95" s="5">
        <v>0</v>
      </c>
      <c r="H95" s="5">
        <v>685.58</v>
      </c>
    </row>
    <row r="96" spans="1:8" x14ac:dyDescent="0.3">
      <c r="A96" s="6">
        <v>4</v>
      </c>
      <c r="B96" s="3" t="str">
        <f t="shared" si="2"/>
        <v>4 - 202 Drivers</v>
      </c>
      <c r="C96" s="6">
        <v>6001</v>
      </c>
      <c r="D96" s="3" t="str">
        <f t="shared" si="3"/>
        <v>6001 - Admin Wages</v>
      </c>
      <c r="E96" s="4" t="s">
        <v>50</v>
      </c>
      <c r="F96" s="4" t="s">
        <v>7</v>
      </c>
      <c r="G96" s="5">
        <v>45.19</v>
      </c>
      <c r="H96" s="5">
        <v>542.28</v>
      </c>
    </row>
    <row r="97" spans="1:8" x14ac:dyDescent="0.3">
      <c r="A97" s="6">
        <v>4</v>
      </c>
      <c r="B97" s="3" t="str">
        <f t="shared" si="2"/>
        <v>4 - 202 Drivers</v>
      </c>
      <c r="C97" s="6">
        <v>6001</v>
      </c>
      <c r="D97" s="3" t="str">
        <f t="shared" si="3"/>
        <v>6001 - Admin Wages</v>
      </c>
      <c r="E97" s="4" t="s">
        <v>51</v>
      </c>
      <c r="F97" s="4" t="s">
        <v>7</v>
      </c>
      <c r="G97" s="5">
        <v>18.43</v>
      </c>
      <c r="H97" s="5">
        <v>221.16</v>
      </c>
    </row>
    <row r="98" spans="1:8" x14ac:dyDescent="0.3">
      <c r="A98" s="6">
        <v>4</v>
      </c>
      <c r="B98" s="3" t="str">
        <f t="shared" si="2"/>
        <v>4 - 202 Drivers</v>
      </c>
      <c r="C98" s="6">
        <v>6001</v>
      </c>
      <c r="D98" s="3" t="str">
        <f t="shared" si="3"/>
        <v>6001 - Admin Wages</v>
      </c>
      <c r="E98" s="4" t="s">
        <v>52</v>
      </c>
      <c r="F98" s="4" t="s">
        <v>7</v>
      </c>
      <c r="G98" s="5">
        <v>28.42</v>
      </c>
      <c r="H98" s="5">
        <v>341.04</v>
      </c>
    </row>
    <row r="99" spans="1:8" x14ac:dyDescent="0.3">
      <c r="A99" s="6">
        <v>4</v>
      </c>
      <c r="B99" s="3" t="str">
        <f t="shared" si="2"/>
        <v>4 - 202 Drivers</v>
      </c>
      <c r="C99" s="6">
        <v>6001</v>
      </c>
      <c r="D99" s="3" t="str">
        <f t="shared" si="3"/>
        <v>6001 - Admin Wages</v>
      </c>
      <c r="E99" s="4" t="s">
        <v>53</v>
      </c>
      <c r="F99" s="4" t="s">
        <v>7</v>
      </c>
      <c r="G99" s="5">
        <v>51.26</v>
      </c>
      <c r="H99" s="5">
        <v>602.30999999999995</v>
      </c>
    </row>
    <row r="100" spans="1:8" x14ac:dyDescent="0.3">
      <c r="A100" s="6">
        <v>4</v>
      </c>
      <c r="B100" s="3" t="str">
        <f t="shared" si="2"/>
        <v>4 - 202 Drivers</v>
      </c>
      <c r="C100" s="6">
        <v>6001</v>
      </c>
      <c r="D100" s="3" t="str">
        <f t="shared" si="3"/>
        <v>6001 - Admin Wages</v>
      </c>
      <c r="E100" s="4" t="s">
        <v>54</v>
      </c>
      <c r="F100" s="4" t="s">
        <v>7</v>
      </c>
      <c r="G100" s="5">
        <v>80</v>
      </c>
      <c r="H100" s="5">
        <v>960</v>
      </c>
    </row>
    <row r="101" spans="1:8" x14ac:dyDescent="0.3">
      <c r="A101" s="6">
        <v>4</v>
      </c>
      <c r="B101" s="3" t="str">
        <f t="shared" si="2"/>
        <v>4 - 202 Drivers</v>
      </c>
      <c r="C101" s="6">
        <v>6001</v>
      </c>
      <c r="D101" s="3" t="str">
        <f t="shared" si="3"/>
        <v>6001 - Admin Wages</v>
      </c>
      <c r="E101" s="4" t="s">
        <v>55</v>
      </c>
      <c r="F101" s="4" t="s">
        <v>7</v>
      </c>
      <c r="G101" s="5">
        <v>49.34</v>
      </c>
      <c r="H101" s="5">
        <v>616.75</v>
      </c>
    </row>
    <row r="102" spans="1:8" x14ac:dyDescent="0.3">
      <c r="A102" s="6">
        <v>4</v>
      </c>
      <c r="B102" s="3" t="str">
        <f t="shared" si="2"/>
        <v>4 - 202 Drivers</v>
      </c>
      <c r="C102" s="6">
        <v>6001</v>
      </c>
      <c r="D102" s="3" t="str">
        <f t="shared" si="3"/>
        <v>6001 - Admin Wages</v>
      </c>
      <c r="E102" s="4" t="s">
        <v>56</v>
      </c>
      <c r="F102" s="4" t="s">
        <v>7</v>
      </c>
      <c r="G102" s="5">
        <v>33.75</v>
      </c>
      <c r="H102" s="5">
        <v>337.5</v>
      </c>
    </row>
    <row r="103" spans="1:8" x14ac:dyDescent="0.3">
      <c r="A103" s="6">
        <v>4</v>
      </c>
      <c r="B103" s="3" t="str">
        <f t="shared" si="2"/>
        <v>4 - 202 Drivers</v>
      </c>
      <c r="C103" s="6">
        <v>6001</v>
      </c>
      <c r="D103" s="3" t="str">
        <f t="shared" si="3"/>
        <v>6001 - Admin Wages</v>
      </c>
      <c r="E103" s="4" t="s">
        <v>57</v>
      </c>
      <c r="F103" s="4" t="s">
        <v>7</v>
      </c>
      <c r="G103" s="5">
        <v>13.77</v>
      </c>
      <c r="H103" s="5">
        <v>172.13</v>
      </c>
    </row>
    <row r="104" spans="1:8" x14ac:dyDescent="0.3">
      <c r="A104" s="6">
        <v>4</v>
      </c>
      <c r="B104" s="3" t="str">
        <f t="shared" si="2"/>
        <v>4 - 202 Drivers</v>
      </c>
      <c r="C104" s="6">
        <v>6001</v>
      </c>
      <c r="D104" s="3" t="str">
        <f t="shared" si="3"/>
        <v>6001 - Admin Wages</v>
      </c>
      <c r="E104" s="4" t="s">
        <v>58</v>
      </c>
      <c r="F104" s="4" t="s">
        <v>7</v>
      </c>
      <c r="G104" s="5">
        <v>52.81</v>
      </c>
      <c r="H104" s="5">
        <v>660.13</v>
      </c>
    </row>
    <row r="105" spans="1:8" x14ac:dyDescent="0.3">
      <c r="A105" s="6">
        <v>4</v>
      </c>
      <c r="B105" s="3" t="str">
        <f t="shared" si="2"/>
        <v>4 - 202 Drivers</v>
      </c>
      <c r="C105" s="6">
        <v>6001</v>
      </c>
      <c r="D105" s="3" t="str">
        <f t="shared" si="3"/>
        <v>6001 - Admin Wages</v>
      </c>
      <c r="E105" s="4" t="s">
        <v>59</v>
      </c>
      <c r="F105" s="4" t="s">
        <v>7</v>
      </c>
      <c r="G105" s="5">
        <v>36.840000000000003</v>
      </c>
      <c r="H105" s="5">
        <v>405.24</v>
      </c>
    </row>
    <row r="106" spans="1:8" x14ac:dyDescent="0.3">
      <c r="A106" s="6">
        <v>4</v>
      </c>
      <c r="B106" s="3" t="str">
        <f t="shared" si="2"/>
        <v>4 - 202 Drivers</v>
      </c>
      <c r="C106" s="6">
        <v>6001</v>
      </c>
      <c r="D106" s="3" t="str">
        <f t="shared" si="3"/>
        <v>6001 - Admin Wages</v>
      </c>
      <c r="E106" s="4" t="s">
        <v>54</v>
      </c>
      <c r="F106" s="4" t="s">
        <v>20</v>
      </c>
      <c r="G106" s="5">
        <v>4.99</v>
      </c>
      <c r="H106" s="5">
        <v>89.82</v>
      </c>
    </row>
    <row r="107" spans="1:8" x14ac:dyDescent="0.3">
      <c r="A107" s="6">
        <v>5</v>
      </c>
      <c r="B107" s="3" t="str">
        <f t="shared" si="2"/>
        <v>5 - 100 Operations</v>
      </c>
      <c r="C107" s="3">
        <v>6900</v>
      </c>
      <c r="D107" s="3" t="str">
        <f t="shared" si="3"/>
        <v>6900 - Misc Expense</v>
      </c>
      <c r="E107" s="4" t="s">
        <v>60</v>
      </c>
      <c r="F107" s="4" t="s">
        <v>27</v>
      </c>
      <c r="G107" s="5">
        <v>0</v>
      </c>
      <c r="H107" s="5">
        <v>310.73</v>
      </c>
    </row>
    <row r="108" spans="1:8" x14ac:dyDescent="0.3">
      <c r="A108" s="6">
        <v>5</v>
      </c>
      <c r="B108" s="3" t="str">
        <f t="shared" si="2"/>
        <v>5 - 100 Operations</v>
      </c>
      <c r="C108" s="6">
        <v>6001</v>
      </c>
      <c r="D108" s="3" t="str">
        <f t="shared" si="3"/>
        <v>6001 - Admin Wages</v>
      </c>
      <c r="E108" s="4" t="s">
        <v>60</v>
      </c>
      <c r="F108" s="4" t="s">
        <v>7</v>
      </c>
      <c r="G108" s="5">
        <v>80</v>
      </c>
      <c r="H108" s="5">
        <v>2500</v>
      </c>
    </row>
    <row r="109" spans="1:8" x14ac:dyDescent="0.3">
      <c r="A109" s="6">
        <v>5</v>
      </c>
      <c r="B109" s="3" t="str">
        <f t="shared" si="2"/>
        <v>DAXTON GRUBB</v>
      </c>
      <c r="C109" s="6">
        <v>6001</v>
      </c>
      <c r="D109" s="3" t="str">
        <f t="shared" si="3"/>
        <v>6001 - Admin Wages</v>
      </c>
      <c r="E109" s="4" t="s">
        <v>61</v>
      </c>
      <c r="F109" s="4" t="s">
        <v>7</v>
      </c>
      <c r="G109" s="5">
        <v>80</v>
      </c>
      <c r="H109" s="5">
        <v>24276.09</v>
      </c>
    </row>
    <row r="110" spans="1:8" x14ac:dyDescent="0.3">
      <c r="A110" s="6">
        <v>5</v>
      </c>
      <c r="B110" s="3" t="str">
        <f t="shared" si="2"/>
        <v>5 - 100 Operations</v>
      </c>
      <c r="C110" s="6">
        <v>6001</v>
      </c>
      <c r="D110" s="3" t="str">
        <f t="shared" si="3"/>
        <v>6001 - Admin Wages</v>
      </c>
      <c r="E110" s="4" t="s">
        <v>23</v>
      </c>
      <c r="F110" s="4" t="s">
        <v>7</v>
      </c>
      <c r="G110" s="5">
        <v>0</v>
      </c>
      <c r="H110" s="5">
        <v>7177.17</v>
      </c>
    </row>
    <row r="111" spans="1:8" x14ac:dyDescent="0.3">
      <c r="A111" s="6">
        <v>5</v>
      </c>
      <c r="B111" s="3" t="str">
        <f t="shared" si="2"/>
        <v>BREE HIGH</v>
      </c>
      <c r="C111" s="6">
        <v>6001</v>
      </c>
      <c r="D111" s="3" t="str">
        <f t="shared" si="3"/>
        <v>6001 - Admin Wages</v>
      </c>
      <c r="E111" s="4" t="s">
        <v>62</v>
      </c>
      <c r="F111" s="4" t="s">
        <v>7</v>
      </c>
      <c r="G111" s="5">
        <v>80</v>
      </c>
      <c r="H111" s="5">
        <v>2307.69</v>
      </c>
    </row>
    <row r="112" spans="1:8" x14ac:dyDescent="0.3">
      <c r="A112" s="6">
        <v>5</v>
      </c>
      <c r="B112" s="3" t="str">
        <f t="shared" si="2"/>
        <v>5 - 100 Operations</v>
      </c>
      <c r="C112" s="6">
        <v>6001</v>
      </c>
      <c r="D112" s="3" t="str">
        <f t="shared" si="3"/>
        <v>6001 - Admin Wages</v>
      </c>
      <c r="E112" s="4" t="s">
        <v>63</v>
      </c>
      <c r="F112" s="4" t="s">
        <v>7</v>
      </c>
      <c r="G112" s="5">
        <v>72</v>
      </c>
      <c r="H112" s="5">
        <v>2215.38</v>
      </c>
    </row>
    <row r="113" spans="1:8" x14ac:dyDescent="0.3">
      <c r="A113" s="6">
        <v>5</v>
      </c>
      <c r="B113" s="3" t="str">
        <f t="shared" si="2"/>
        <v>5 - 100 Operations</v>
      </c>
      <c r="C113" s="6">
        <v>6001</v>
      </c>
      <c r="D113" s="3" t="str">
        <f t="shared" si="3"/>
        <v>6001 - Admin Wages</v>
      </c>
      <c r="E113" s="4" t="s">
        <v>64</v>
      </c>
      <c r="F113" s="4" t="s">
        <v>7</v>
      </c>
      <c r="G113" s="5">
        <v>66.28</v>
      </c>
      <c r="H113" s="5">
        <v>1723.28</v>
      </c>
    </row>
    <row r="114" spans="1:8" x14ac:dyDescent="0.3">
      <c r="A114" s="6">
        <v>5</v>
      </c>
      <c r="B114" s="3" t="str">
        <f t="shared" si="2"/>
        <v>5 - 100 Operations</v>
      </c>
      <c r="C114" s="6">
        <v>6001</v>
      </c>
      <c r="D114" s="3" t="str">
        <f t="shared" si="3"/>
        <v>6001 - Admin Wages</v>
      </c>
      <c r="E114" s="4" t="s">
        <v>65</v>
      </c>
      <c r="F114" s="4" t="s">
        <v>7</v>
      </c>
      <c r="G114" s="5">
        <v>46.53</v>
      </c>
      <c r="H114" s="5">
        <v>1628.55</v>
      </c>
    </row>
    <row r="115" spans="1:8" x14ac:dyDescent="0.3">
      <c r="A115" s="6">
        <v>5</v>
      </c>
      <c r="B115" s="3" t="str">
        <f t="shared" si="2"/>
        <v>5 - 100 Operations</v>
      </c>
      <c r="C115" s="6">
        <v>6001</v>
      </c>
      <c r="D115" s="3" t="str">
        <f t="shared" si="3"/>
        <v>6001 - Admin Wages</v>
      </c>
      <c r="E115" s="4" t="s">
        <v>63</v>
      </c>
      <c r="F115" s="4" t="s">
        <v>66</v>
      </c>
      <c r="G115" s="5">
        <v>0</v>
      </c>
      <c r="H115" s="5">
        <v>7</v>
      </c>
    </row>
    <row r="116" spans="1:8" x14ac:dyDescent="0.3">
      <c r="A116" s="6">
        <v>5</v>
      </c>
      <c r="B116" s="3" t="str">
        <f t="shared" si="2"/>
        <v>5 - 100 Operations</v>
      </c>
      <c r="C116" s="6">
        <v>6001</v>
      </c>
      <c r="D116" s="3" t="str">
        <f t="shared" si="3"/>
        <v>6001 - Admin Wages</v>
      </c>
      <c r="E116" s="4" t="s">
        <v>63</v>
      </c>
      <c r="F116" s="4" t="s">
        <v>21</v>
      </c>
      <c r="G116" s="5">
        <v>8</v>
      </c>
      <c r="H116" s="5">
        <v>246.15</v>
      </c>
    </row>
    <row r="117" spans="1:8" x14ac:dyDescent="0.3">
      <c r="A117" s="6">
        <v>5</v>
      </c>
      <c r="B117" s="3" t="str">
        <f t="shared" si="2"/>
        <v>5 - 100 Operations</v>
      </c>
      <c r="C117" s="6">
        <v>6001</v>
      </c>
      <c r="D117" s="3" t="str">
        <f t="shared" si="3"/>
        <v>6001 - Admin Wages</v>
      </c>
      <c r="E117" s="4" t="s">
        <v>60</v>
      </c>
      <c r="F117" s="4" t="s">
        <v>28</v>
      </c>
      <c r="G117" s="5">
        <v>0</v>
      </c>
      <c r="H117" s="5">
        <v>48.43</v>
      </c>
    </row>
    <row r="118" spans="1:8" x14ac:dyDescent="0.3">
      <c r="A118" s="6">
        <v>5</v>
      </c>
      <c r="B118" s="3" t="str">
        <f t="shared" si="2"/>
        <v>BREE HIGH</v>
      </c>
      <c r="C118" s="6">
        <v>6001</v>
      </c>
      <c r="D118" s="3" t="str">
        <f t="shared" si="3"/>
        <v>6001 - Admin Wages</v>
      </c>
      <c r="E118" s="4" t="s">
        <v>62</v>
      </c>
      <c r="F118" s="4" t="s">
        <v>28</v>
      </c>
      <c r="G118" s="5">
        <v>0</v>
      </c>
      <c r="H118" s="5">
        <v>468.04</v>
      </c>
    </row>
  </sheetData>
  <pageMargins left="0" right="0" top="0" bottom="0" header="0" footer="0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73B6-4258-45DB-AA7A-A486EC16F0D5}">
  <dimension ref="A1:O153"/>
  <sheetViews>
    <sheetView tabSelected="1" topLeftCell="F1" workbookViewId="0">
      <selection activeCell="O11" sqref="O11"/>
    </sheetView>
  </sheetViews>
  <sheetFormatPr defaultRowHeight="14.4" x14ac:dyDescent="0.3"/>
  <cols>
    <col min="1" max="1" width="24.88671875" bestFit="1" customWidth="1"/>
    <col min="2" max="2" width="12.33203125" bestFit="1" customWidth="1"/>
    <col min="3" max="3" width="13.21875" bestFit="1" customWidth="1"/>
    <col min="5" max="5" width="19" bestFit="1" customWidth="1"/>
    <col min="6" max="6" width="12.33203125" bestFit="1" customWidth="1"/>
    <col min="7" max="7" width="13.21875" bestFit="1" customWidth="1"/>
    <col min="12" max="12" width="12.44140625" bestFit="1" customWidth="1"/>
    <col min="13" max="13" width="10.109375" bestFit="1" customWidth="1"/>
    <col min="15" max="15" width="11.109375" bestFit="1" customWidth="1"/>
  </cols>
  <sheetData>
    <row r="1" spans="1:15" x14ac:dyDescent="0.3">
      <c r="A1" s="9" t="s">
        <v>87</v>
      </c>
      <c r="B1" t="s">
        <v>89</v>
      </c>
      <c r="C1" t="s">
        <v>90</v>
      </c>
      <c r="E1" s="9" t="s">
        <v>87</v>
      </c>
      <c r="F1" t="s">
        <v>89</v>
      </c>
      <c r="G1" t="s">
        <v>90</v>
      </c>
      <c r="I1" s="8"/>
      <c r="J1" s="7">
        <v>4692</v>
      </c>
      <c r="K1" s="7" t="s">
        <v>93</v>
      </c>
      <c r="L1" s="14">
        <f>GETPIVOTDATA("Sum of Dollars",$E$1,"Department","1 - 980 Fixed")+GETPIVOTDATA("Sum of Dollars",$E$1,"Department","2 - 990 Removable")-M1-J14-J17-J18</f>
        <v>62274.63</v>
      </c>
      <c r="M1" s="14">
        <f>(1/3)*GETPIVOTDATA("Sum of Dollars",$E$1,"Department","2 - 990 Removable","Category","Regular - O/T")+GETPIVOTDATA("Sum of Dollars",$E$1,"Department","1 - 980 Fixed","Category","Regular - O/T")</f>
        <v>2511.4899999999998</v>
      </c>
      <c r="N1" s="8" cm="1">
        <f t="array" ref="N1:N5">J1:J5</f>
        <v>4692</v>
      </c>
      <c r="O1" s="15">
        <f>SUM(L1+(M1*0.33))</f>
        <v>63103.421699999999</v>
      </c>
    </row>
    <row r="2" spans="1:15" x14ac:dyDescent="0.3">
      <c r="A2" s="10" t="s">
        <v>29</v>
      </c>
      <c r="B2" s="12">
        <v>96.55</v>
      </c>
      <c r="C2" s="13">
        <v>4743.6000000000004</v>
      </c>
      <c r="E2" s="10" t="s">
        <v>70</v>
      </c>
      <c r="F2" s="12">
        <v>1337.26</v>
      </c>
      <c r="G2" s="13">
        <v>32107.239999999998</v>
      </c>
      <c r="I2" s="8"/>
      <c r="J2" s="7">
        <v>7380</v>
      </c>
      <c r="K2" s="7" t="s">
        <v>94</v>
      </c>
      <c r="L2" s="14">
        <f>GETPIVOTDATA("Sum of Dollars",$E$1,"Department","4 - 202 Drivers")-M2-J16</f>
        <v>4918.42</v>
      </c>
      <c r="M2" s="14">
        <f>(1/3)*GETPIVOTDATA("Sum of Dollars",$E$1,"Department","4 - 202 Drivers","Category","Regular - O/T")</f>
        <v>29.939999999999998</v>
      </c>
      <c r="N2" s="8">
        <v>7380</v>
      </c>
      <c r="O2" s="15">
        <f t="shared" ref="O2:O7" si="0">SUM(L2+(M2*0.33))</f>
        <v>4928.3001999999997</v>
      </c>
    </row>
    <row r="3" spans="1:15" x14ac:dyDescent="0.3">
      <c r="A3" s="11" t="s">
        <v>7</v>
      </c>
      <c r="B3" s="12">
        <v>85.41</v>
      </c>
      <c r="C3" s="13">
        <v>2562.3000000000002</v>
      </c>
      <c r="E3" s="11" t="s">
        <v>7</v>
      </c>
      <c r="F3" s="12">
        <v>1228.25</v>
      </c>
      <c r="G3" s="13">
        <v>26538.720000000001</v>
      </c>
      <c r="I3" s="7" t="s">
        <v>95</v>
      </c>
      <c r="J3" s="7">
        <v>8742</v>
      </c>
      <c r="K3" s="7" t="s">
        <v>96</v>
      </c>
      <c r="L3" s="14">
        <f>GETPIVOTDATA("Sum of Dollars",$E$1,"Department","DAXTON GRUBB")</f>
        <v>24276.09</v>
      </c>
      <c r="M3" s="14"/>
      <c r="N3" s="8">
        <v>8742</v>
      </c>
      <c r="O3" s="15">
        <f t="shared" si="0"/>
        <v>24276.09</v>
      </c>
    </row>
    <row r="4" spans="1:15" x14ac:dyDescent="0.3">
      <c r="A4" s="11" t="s">
        <v>20</v>
      </c>
      <c r="B4" s="12">
        <v>11.14</v>
      </c>
      <c r="C4" s="13">
        <v>501.3</v>
      </c>
      <c r="E4" s="11" t="s">
        <v>20</v>
      </c>
      <c r="F4" s="12">
        <v>57.010000000000005</v>
      </c>
      <c r="G4" s="13">
        <v>1880.76</v>
      </c>
      <c r="I4" s="8"/>
      <c r="J4" s="7">
        <v>8810</v>
      </c>
      <c r="K4" s="7" t="s">
        <v>97</v>
      </c>
      <c r="L4" s="16">
        <f>GETPIVOTDATA("Sum of Dollars",$E$1,"Department","3 - 201 Admin")+GETPIVOTDATA("Sum of Dollars",$E$1,"Department","5 - 100 Operations")+J12-M4-J13-J15</f>
        <v>28329.743333333332</v>
      </c>
      <c r="M4" s="16">
        <f>(1/3)*GETPIVOTDATA("Sum of Dollars",$E$1,"Department","3 - 201 Admin","Category","Regular - O/T")</f>
        <v>70.046666666666653</v>
      </c>
      <c r="N4" s="8">
        <v>8810</v>
      </c>
      <c r="O4" s="15">
        <f t="shared" si="0"/>
        <v>28352.858733333331</v>
      </c>
    </row>
    <row r="5" spans="1:15" x14ac:dyDescent="0.3">
      <c r="A5" s="11" t="s">
        <v>30</v>
      </c>
      <c r="B5" s="12">
        <v>0</v>
      </c>
      <c r="C5" s="13">
        <v>1680</v>
      </c>
      <c r="E5" s="11" t="s">
        <v>21</v>
      </c>
      <c r="F5" s="12">
        <v>52</v>
      </c>
      <c r="G5" s="13">
        <v>1235.07</v>
      </c>
      <c r="I5" s="8" t="s">
        <v>98</v>
      </c>
      <c r="J5" s="8">
        <v>3724</v>
      </c>
      <c r="K5" s="8" t="s">
        <v>99</v>
      </c>
      <c r="L5" s="17"/>
      <c r="M5" s="8"/>
      <c r="N5" s="8">
        <v>3724</v>
      </c>
      <c r="O5" s="15">
        <f>SUM(L5:M5)</f>
        <v>0</v>
      </c>
    </row>
    <row r="6" spans="1:15" x14ac:dyDescent="0.3">
      <c r="A6" s="10" t="s">
        <v>38</v>
      </c>
      <c r="B6" s="12">
        <v>93.01</v>
      </c>
      <c r="C6" s="13">
        <v>1592.24</v>
      </c>
      <c r="E6" s="11" t="s">
        <v>28</v>
      </c>
      <c r="F6" s="12">
        <v>0</v>
      </c>
      <c r="G6" s="13">
        <v>750</v>
      </c>
      <c r="I6" s="8" t="s">
        <v>100</v>
      </c>
      <c r="J6" s="8">
        <v>8742</v>
      </c>
      <c r="K6" s="7" t="s">
        <v>96</v>
      </c>
      <c r="L6" s="17">
        <v>570.79999999999995</v>
      </c>
      <c r="M6" s="8"/>
      <c r="N6" s="8"/>
      <c r="O6" s="15">
        <f>SUM(L6:M6)</f>
        <v>570.79999999999995</v>
      </c>
    </row>
    <row r="7" spans="1:15" x14ac:dyDescent="0.3">
      <c r="A7" s="11" t="s">
        <v>7</v>
      </c>
      <c r="B7" s="12">
        <v>80</v>
      </c>
      <c r="C7" s="13">
        <v>1280</v>
      </c>
      <c r="E7" s="11" t="s">
        <v>30</v>
      </c>
      <c r="F7" s="12">
        <v>0</v>
      </c>
      <c r="G7" s="13">
        <v>1680</v>
      </c>
      <c r="I7" s="18" t="s">
        <v>101</v>
      </c>
      <c r="J7" s="19">
        <v>8871</v>
      </c>
      <c r="K7" s="18" t="s">
        <v>102</v>
      </c>
      <c r="L7" s="20">
        <f>GETPIVOTDATA("Sum of Dollars",$E$1,"Department","BREE HIGH")</f>
        <v>2775.73</v>
      </c>
      <c r="M7" s="20"/>
      <c r="N7" s="8">
        <f>J7</f>
        <v>8871</v>
      </c>
      <c r="O7" s="15">
        <f t="shared" si="0"/>
        <v>2775.73</v>
      </c>
    </row>
    <row r="8" spans="1:15" x14ac:dyDescent="0.3">
      <c r="A8" s="11" t="s">
        <v>20</v>
      </c>
      <c r="B8" s="12">
        <v>13.01</v>
      </c>
      <c r="C8" s="13">
        <v>312.24</v>
      </c>
      <c r="E8" s="11" t="s">
        <v>27</v>
      </c>
      <c r="F8" s="12">
        <v>0</v>
      </c>
      <c r="G8" s="13">
        <v>22.69</v>
      </c>
      <c r="I8" s="8"/>
      <c r="J8" s="7"/>
      <c r="K8" s="7"/>
      <c r="L8" s="15">
        <f>SUM(L1:L7)</f>
        <v>123145.41333333333</v>
      </c>
      <c r="M8" s="15">
        <f>SUM(M1:M7)</f>
        <v>2611.4766666666665</v>
      </c>
      <c r="N8" s="8"/>
      <c r="O8" s="8"/>
    </row>
    <row r="9" spans="1:15" x14ac:dyDescent="0.3">
      <c r="A9" s="10" t="s">
        <v>22</v>
      </c>
      <c r="B9" s="12">
        <v>90.960000000000008</v>
      </c>
      <c r="C9" s="13">
        <v>2700.32</v>
      </c>
      <c r="E9" s="10" t="s">
        <v>69</v>
      </c>
      <c r="F9" s="12">
        <v>1042.02</v>
      </c>
      <c r="G9" s="13">
        <v>32678.880000000001</v>
      </c>
      <c r="I9" s="8"/>
      <c r="J9" s="8"/>
      <c r="K9" s="8"/>
      <c r="L9" s="8"/>
      <c r="M9" s="8"/>
      <c r="N9" s="8"/>
      <c r="O9" s="8"/>
    </row>
    <row r="10" spans="1:15" x14ac:dyDescent="0.3">
      <c r="A10" s="11" t="s">
        <v>7</v>
      </c>
      <c r="B10" s="12">
        <v>80</v>
      </c>
      <c r="C10" s="13">
        <v>2240</v>
      </c>
      <c r="E10" s="11" t="s">
        <v>7</v>
      </c>
      <c r="F10" s="12">
        <v>914.13999999999987</v>
      </c>
      <c r="G10" s="13">
        <v>23532.430000000004</v>
      </c>
      <c r="I10" s="8"/>
      <c r="J10" s="7"/>
      <c r="K10" s="21" t="s">
        <v>103</v>
      </c>
      <c r="L10" s="22">
        <f>L8+M8-J12+J13-L5+J14+J15+J17-L6+J18+J16</f>
        <v>123224.34</v>
      </c>
      <c r="M10" s="8"/>
      <c r="N10" s="8"/>
      <c r="O10" s="8"/>
    </row>
    <row r="11" spans="1:15" x14ac:dyDescent="0.3">
      <c r="A11" s="11" t="s">
        <v>20</v>
      </c>
      <c r="B11" s="12">
        <v>10.96</v>
      </c>
      <c r="C11" s="13">
        <v>460.32</v>
      </c>
      <c r="E11" s="11" t="s">
        <v>20</v>
      </c>
      <c r="F11" s="12">
        <v>51.88000000000001</v>
      </c>
      <c r="G11" s="13">
        <v>1884.57</v>
      </c>
      <c r="I11" s="8"/>
      <c r="J11" s="8"/>
      <c r="K11" s="8"/>
      <c r="L11" s="8" t="s">
        <v>104</v>
      </c>
      <c r="M11" s="8"/>
      <c r="N11" s="8"/>
      <c r="O11" s="8"/>
    </row>
    <row r="12" spans="1:15" x14ac:dyDescent="0.3">
      <c r="A12" s="10" t="s">
        <v>11</v>
      </c>
      <c r="B12" s="12">
        <v>90.36</v>
      </c>
      <c r="C12" s="13">
        <v>1791.04</v>
      </c>
      <c r="E12" s="11" t="s">
        <v>21</v>
      </c>
      <c r="F12" s="12">
        <v>76</v>
      </c>
      <c r="G12" s="13">
        <v>2035.08</v>
      </c>
      <c r="I12" s="8" t="s">
        <v>105</v>
      </c>
      <c r="J12" s="8">
        <v>1968.75</v>
      </c>
      <c r="K12" s="8"/>
      <c r="L12" s="8"/>
      <c r="M12" s="8"/>
      <c r="N12" s="8" cm="1">
        <f t="array" ref="N12:O12">N5:O5</f>
        <v>3724</v>
      </c>
      <c r="O12" s="17">
        <v>0</v>
      </c>
    </row>
    <row r="13" spans="1:15" x14ac:dyDescent="0.3">
      <c r="A13" s="11" t="s">
        <v>7</v>
      </c>
      <c r="B13" s="12">
        <v>74.55</v>
      </c>
      <c r="C13" s="13">
        <v>1416.45</v>
      </c>
      <c r="E13" s="11" t="s">
        <v>28</v>
      </c>
      <c r="F13" s="12">
        <v>0</v>
      </c>
      <c r="G13" s="13">
        <v>5204.1000000000004</v>
      </c>
      <c r="I13" s="8" t="s">
        <v>106</v>
      </c>
      <c r="J13" s="8">
        <f>GETPIVOTDATA("Sum of Dollars",$E$1,"Department","5 - 100 Operations","Category","Non Tax Auto")</f>
        <v>7</v>
      </c>
      <c r="K13" s="8"/>
      <c r="L13" s="8"/>
      <c r="M13" s="8"/>
      <c r="N13" s="8" cm="1">
        <f t="array" ref="N13:O13">N1:O1</f>
        <v>4692</v>
      </c>
      <c r="O13" s="17">
        <v>63103.421699999999</v>
      </c>
    </row>
    <row r="14" spans="1:15" x14ac:dyDescent="0.3">
      <c r="A14" s="11" t="s">
        <v>20</v>
      </c>
      <c r="B14" s="12">
        <v>7.81</v>
      </c>
      <c r="C14" s="13">
        <v>222.59</v>
      </c>
      <c r="E14" s="11" t="s">
        <v>27</v>
      </c>
      <c r="F14" s="12">
        <v>0</v>
      </c>
      <c r="G14" s="13">
        <v>22.7</v>
      </c>
      <c r="I14" s="8" t="s">
        <v>107</v>
      </c>
      <c r="J14" s="8"/>
      <c r="K14" s="8"/>
      <c r="L14" s="8"/>
      <c r="M14" s="8"/>
      <c r="N14" s="8" cm="1">
        <f t="array" ref="N14:O14">N2:O2</f>
        <v>7380</v>
      </c>
      <c r="O14" s="17">
        <v>4928.3001999999997</v>
      </c>
    </row>
    <row r="15" spans="1:15" x14ac:dyDescent="0.3">
      <c r="A15" s="11" t="s">
        <v>21</v>
      </c>
      <c r="B15" s="12">
        <v>8</v>
      </c>
      <c r="C15" s="13">
        <v>152</v>
      </c>
      <c r="E15" s="10" t="s">
        <v>71</v>
      </c>
      <c r="F15" s="12">
        <v>521.79000000000008</v>
      </c>
      <c r="G15" s="13">
        <v>10581.349999999999</v>
      </c>
      <c r="I15" s="8" t="s">
        <v>108</v>
      </c>
      <c r="J15" s="8"/>
      <c r="K15" s="8"/>
      <c r="L15" s="8"/>
      <c r="M15" s="8"/>
      <c r="N15" s="8" cm="1">
        <f t="array" ref="N15:O15">N3:O3</f>
        <v>8742</v>
      </c>
      <c r="O15" s="17">
        <v>24276.09</v>
      </c>
    </row>
    <row r="16" spans="1:15" x14ac:dyDescent="0.3">
      <c r="A16" s="10" t="s">
        <v>25</v>
      </c>
      <c r="B16" s="12">
        <v>89.24</v>
      </c>
      <c r="C16" s="13">
        <v>2158.7799999999997</v>
      </c>
      <c r="E16" s="11" t="s">
        <v>7</v>
      </c>
      <c r="F16" s="12">
        <v>510.78000000000003</v>
      </c>
      <c r="G16" s="13">
        <v>9636.1299999999992</v>
      </c>
      <c r="I16" s="8" t="s">
        <v>109</v>
      </c>
      <c r="J16" s="8"/>
      <c r="K16" s="8"/>
      <c r="L16" s="8"/>
      <c r="M16" s="8"/>
      <c r="N16" s="8" cm="1">
        <f t="array" ref="N16:O16">N4:O4</f>
        <v>8810</v>
      </c>
      <c r="O16" s="17">
        <v>28352.858733333331</v>
      </c>
    </row>
    <row r="17" spans="1:15" x14ac:dyDescent="0.3">
      <c r="A17" s="11" t="s">
        <v>7</v>
      </c>
      <c r="B17" s="12">
        <v>80</v>
      </c>
      <c r="C17" s="13">
        <v>1840</v>
      </c>
      <c r="E17" s="11" t="s">
        <v>20</v>
      </c>
      <c r="F17" s="12">
        <v>8.01</v>
      </c>
      <c r="G17" s="13">
        <v>210.14</v>
      </c>
      <c r="I17" s="8" t="s">
        <v>110</v>
      </c>
      <c r="J17" s="8"/>
      <c r="K17" s="8"/>
      <c r="L17" s="8"/>
      <c r="M17" s="8"/>
      <c r="N17" s="8" cm="1">
        <f t="array" ref="N17:O17">N7:O7</f>
        <v>8871</v>
      </c>
      <c r="O17" s="17">
        <v>2775.73</v>
      </c>
    </row>
    <row r="18" spans="1:15" x14ac:dyDescent="0.3">
      <c r="A18" s="11" t="s">
        <v>20</v>
      </c>
      <c r="B18" s="12">
        <v>9.24</v>
      </c>
      <c r="C18" s="13">
        <v>318.77999999999997</v>
      </c>
      <c r="E18" s="11" t="s">
        <v>21</v>
      </c>
      <c r="F18" s="12">
        <v>3</v>
      </c>
      <c r="G18" s="13">
        <v>49.5</v>
      </c>
      <c r="I18" s="8" t="s">
        <v>111</v>
      </c>
      <c r="J18" s="8"/>
      <c r="K18" s="8"/>
      <c r="L18" s="8"/>
      <c r="M18" s="8"/>
      <c r="N18" s="8"/>
      <c r="O18" s="8"/>
    </row>
    <row r="19" spans="1:15" x14ac:dyDescent="0.3">
      <c r="A19" s="10" t="s">
        <v>33</v>
      </c>
      <c r="B19" s="12">
        <v>89</v>
      </c>
      <c r="C19" s="13">
        <v>2116.58</v>
      </c>
      <c r="E19" s="11" t="s">
        <v>28</v>
      </c>
      <c r="F19" s="12">
        <v>0</v>
      </c>
      <c r="G19" s="13">
        <v>685.58</v>
      </c>
    </row>
    <row r="20" spans="1:15" x14ac:dyDescent="0.3">
      <c r="A20" s="11" t="s">
        <v>7</v>
      </c>
      <c r="B20" s="12">
        <v>66.95</v>
      </c>
      <c r="C20" s="13">
        <v>1539.85</v>
      </c>
      <c r="E20" s="10" t="s">
        <v>72</v>
      </c>
      <c r="F20" s="12">
        <v>414.79999999999995</v>
      </c>
      <c r="G20" s="13">
        <v>4948.3599999999997</v>
      </c>
    </row>
    <row r="21" spans="1:15" x14ac:dyDescent="0.3">
      <c r="A21" s="11" t="s">
        <v>20</v>
      </c>
      <c r="B21" s="12">
        <v>6.05</v>
      </c>
      <c r="C21" s="13">
        <v>208.73</v>
      </c>
      <c r="E21" s="11" t="s">
        <v>7</v>
      </c>
      <c r="F21" s="12">
        <v>409.80999999999995</v>
      </c>
      <c r="G21" s="13">
        <v>4858.54</v>
      </c>
    </row>
    <row r="22" spans="1:15" x14ac:dyDescent="0.3">
      <c r="A22" s="11" t="s">
        <v>21</v>
      </c>
      <c r="B22" s="12">
        <v>16</v>
      </c>
      <c r="C22" s="13">
        <v>368</v>
      </c>
      <c r="E22" s="11" t="s">
        <v>20</v>
      </c>
      <c r="F22" s="12">
        <v>4.99</v>
      </c>
      <c r="G22" s="13">
        <v>89.82</v>
      </c>
    </row>
    <row r="23" spans="1:15" x14ac:dyDescent="0.3">
      <c r="A23" s="10" t="s">
        <v>18</v>
      </c>
      <c r="B23" s="12">
        <v>87.65</v>
      </c>
      <c r="C23" s="13">
        <v>2906.56</v>
      </c>
      <c r="E23" s="10" t="s">
        <v>74</v>
      </c>
      <c r="F23" s="12">
        <v>272.81</v>
      </c>
      <c r="G23" s="13">
        <v>15856.689999999999</v>
      </c>
    </row>
    <row r="24" spans="1:15" x14ac:dyDescent="0.3">
      <c r="A24" s="11" t="s">
        <v>7</v>
      </c>
      <c r="B24" s="12">
        <v>49.29</v>
      </c>
      <c r="C24" s="13">
        <v>1577.28</v>
      </c>
      <c r="E24" s="11" t="s">
        <v>7</v>
      </c>
      <c r="F24" s="12">
        <v>264.81</v>
      </c>
      <c r="G24" s="13">
        <v>15244.38</v>
      </c>
    </row>
    <row r="25" spans="1:15" x14ac:dyDescent="0.3">
      <c r="A25" s="11" t="s">
        <v>20</v>
      </c>
      <c r="B25" s="12">
        <v>6.36</v>
      </c>
      <c r="C25" s="13">
        <v>305.27999999999997</v>
      </c>
      <c r="E25" s="11" t="s">
        <v>21</v>
      </c>
      <c r="F25" s="12">
        <v>8</v>
      </c>
      <c r="G25" s="13">
        <v>246.15</v>
      </c>
    </row>
    <row r="26" spans="1:15" x14ac:dyDescent="0.3">
      <c r="A26" s="11" t="s">
        <v>21</v>
      </c>
      <c r="B26" s="12">
        <v>32</v>
      </c>
      <c r="C26" s="13">
        <v>1024</v>
      </c>
      <c r="E26" s="11" t="s">
        <v>28</v>
      </c>
      <c r="F26" s="12">
        <v>0</v>
      </c>
      <c r="G26" s="13">
        <v>48.43</v>
      </c>
    </row>
    <row r="27" spans="1:15" x14ac:dyDescent="0.3">
      <c r="A27" s="10" t="s">
        <v>10</v>
      </c>
      <c r="B27" s="12">
        <v>86.539999999999992</v>
      </c>
      <c r="C27" s="13">
        <v>2694.9</v>
      </c>
      <c r="E27" s="11" t="s">
        <v>27</v>
      </c>
      <c r="F27" s="12">
        <v>0</v>
      </c>
      <c r="G27" s="13">
        <v>310.73</v>
      </c>
    </row>
    <row r="28" spans="1:15" x14ac:dyDescent="0.3">
      <c r="A28" s="11" t="s">
        <v>7</v>
      </c>
      <c r="B28" s="12">
        <v>71.959999999999994</v>
      </c>
      <c r="C28" s="13">
        <v>2158.8000000000002</v>
      </c>
      <c r="E28" s="11" t="s">
        <v>66</v>
      </c>
      <c r="F28" s="12">
        <v>0</v>
      </c>
      <c r="G28" s="13">
        <v>7</v>
      </c>
    </row>
    <row r="29" spans="1:15" x14ac:dyDescent="0.3">
      <c r="A29" s="11" t="s">
        <v>20</v>
      </c>
      <c r="B29" s="12">
        <v>6.58</v>
      </c>
      <c r="C29" s="13">
        <v>296.10000000000002</v>
      </c>
      <c r="E29" s="10" t="s">
        <v>92</v>
      </c>
      <c r="F29" s="12">
        <v>80</v>
      </c>
      <c r="G29" s="13">
        <v>24276.09</v>
      </c>
    </row>
    <row r="30" spans="1:15" x14ac:dyDescent="0.3">
      <c r="A30" s="11" t="s">
        <v>21</v>
      </c>
      <c r="B30" s="12">
        <v>8</v>
      </c>
      <c r="C30" s="13">
        <v>240</v>
      </c>
      <c r="E30" s="11" t="s">
        <v>7</v>
      </c>
      <c r="F30" s="12">
        <v>80</v>
      </c>
      <c r="G30" s="13">
        <v>24276.09</v>
      </c>
    </row>
    <row r="31" spans="1:15" x14ac:dyDescent="0.3">
      <c r="A31" s="10" t="s">
        <v>13</v>
      </c>
      <c r="B31" s="12">
        <v>85.56</v>
      </c>
      <c r="C31" s="13">
        <v>1766.8</v>
      </c>
      <c r="E31" s="10" t="s">
        <v>91</v>
      </c>
      <c r="F31" s="12">
        <v>80</v>
      </c>
      <c r="G31" s="13">
        <v>2775.73</v>
      </c>
    </row>
    <row r="32" spans="1:15" x14ac:dyDescent="0.3">
      <c r="A32" s="11" t="s">
        <v>7</v>
      </c>
      <c r="B32" s="12">
        <v>80</v>
      </c>
      <c r="C32" s="13">
        <v>1600</v>
      </c>
      <c r="E32" s="11" t="s">
        <v>7</v>
      </c>
      <c r="F32" s="12">
        <v>80</v>
      </c>
      <c r="G32" s="13">
        <v>2307.69</v>
      </c>
    </row>
    <row r="33" spans="1:7" x14ac:dyDescent="0.3">
      <c r="A33" s="11" t="s">
        <v>20</v>
      </c>
      <c r="B33" s="12">
        <v>5.56</v>
      </c>
      <c r="C33" s="13">
        <v>166.8</v>
      </c>
      <c r="E33" s="11" t="s">
        <v>28</v>
      </c>
      <c r="F33" s="12">
        <v>0</v>
      </c>
      <c r="G33" s="13">
        <v>468.04</v>
      </c>
    </row>
    <row r="34" spans="1:7" x14ac:dyDescent="0.3">
      <c r="A34" s="10" t="s">
        <v>39</v>
      </c>
      <c r="B34" s="12">
        <v>85.4</v>
      </c>
      <c r="C34" s="13">
        <v>1307.6999999999998</v>
      </c>
      <c r="E34" s="10" t="s">
        <v>88</v>
      </c>
      <c r="F34" s="12">
        <v>3748.6800000000003</v>
      </c>
      <c r="G34" s="13">
        <v>123224.34</v>
      </c>
    </row>
    <row r="35" spans="1:7" x14ac:dyDescent="0.3">
      <c r="A35" s="11" t="s">
        <v>7</v>
      </c>
      <c r="B35" s="12">
        <v>73.84</v>
      </c>
      <c r="C35" s="13">
        <v>1107.5999999999999</v>
      </c>
    </row>
    <row r="36" spans="1:7" x14ac:dyDescent="0.3">
      <c r="A36" s="11" t="s">
        <v>20</v>
      </c>
      <c r="B36" s="12">
        <v>3.56</v>
      </c>
      <c r="C36" s="13">
        <v>80.099999999999994</v>
      </c>
    </row>
    <row r="37" spans="1:7" x14ac:dyDescent="0.3">
      <c r="A37" s="11" t="s">
        <v>21</v>
      </c>
      <c r="B37" s="12">
        <v>8</v>
      </c>
      <c r="C37" s="13">
        <v>120</v>
      </c>
    </row>
    <row r="38" spans="1:7" x14ac:dyDescent="0.3">
      <c r="A38" s="10" t="s">
        <v>37</v>
      </c>
      <c r="B38" s="12">
        <v>85.36</v>
      </c>
      <c r="C38" s="13">
        <v>2553.16</v>
      </c>
    </row>
    <row r="39" spans="1:7" x14ac:dyDescent="0.3">
      <c r="A39" s="11" t="s">
        <v>7</v>
      </c>
      <c r="B39" s="12">
        <v>80</v>
      </c>
      <c r="C39" s="13">
        <v>2320</v>
      </c>
    </row>
    <row r="40" spans="1:7" x14ac:dyDescent="0.3">
      <c r="A40" s="11" t="s">
        <v>20</v>
      </c>
      <c r="B40" s="12">
        <v>5.36</v>
      </c>
      <c r="C40" s="13">
        <v>233.16</v>
      </c>
    </row>
    <row r="41" spans="1:7" x14ac:dyDescent="0.3">
      <c r="A41" s="10" t="s">
        <v>54</v>
      </c>
      <c r="B41" s="12">
        <v>84.99</v>
      </c>
      <c r="C41" s="13">
        <v>1049.82</v>
      </c>
    </row>
    <row r="42" spans="1:7" x14ac:dyDescent="0.3">
      <c r="A42" s="11" t="s">
        <v>7</v>
      </c>
      <c r="B42" s="12">
        <v>80</v>
      </c>
      <c r="C42" s="13">
        <v>960</v>
      </c>
    </row>
    <row r="43" spans="1:7" x14ac:dyDescent="0.3">
      <c r="A43" s="11" t="s">
        <v>20</v>
      </c>
      <c r="B43" s="12">
        <v>4.99</v>
      </c>
      <c r="C43" s="13">
        <v>89.82</v>
      </c>
    </row>
    <row r="44" spans="1:7" x14ac:dyDescent="0.3">
      <c r="A44" s="10" t="s">
        <v>48</v>
      </c>
      <c r="B44" s="12">
        <v>84.63</v>
      </c>
      <c r="C44" s="13">
        <v>1391.12</v>
      </c>
    </row>
    <row r="45" spans="1:7" x14ac:dyDescent="0.3">
      <c r="A45" s="11" t="s">
        <v>7</v>
      </c>
      <c r="B45" s="12">
        <v>80</v>
      </c>
      <c r="C45" s="13">
        <v>1280</v>
      </c>
    </row>
    <row r="46" spans="1:7" x14ac:dyDescent="0.3">
      <c r="A46" s="11" t="s">
        <v>20</v>
      </c>
      <c r="B46" s="12">
        <v>4.63</v>
      </c>
      <c r="C46" s="13">
        <v>111.12</v>
      </c>
    </row>
    <row r="47" spans="1:7" x14ac:dyDescent="0.3">
      <c r="A47" s="10" t="s">
        <v>42</v>
      </c>
      <c r="B47" s="12">
        <v>84.5</v>
      </c>
      <c r="C47" s="13">
        <v>1735</v>
      </c>
    </row>
    <row r="48" spans="1:7" x14ac:dyDescent="0.3">
      <c r="A48" s="11" t="s">
        <v>7</v>
      </c>
      <c r="B48" s="12">
        <v>80</v>
      </c>
      <c r="C48" s="13">
        <v>1600</v>
      </c>
    </row>
    <row r="49" spans="1:3" x14ac:dyDescent="0.3">
      <c r="A49" s="11" t="s">
        <v>20</v>
      </c>
      <c r="B49" s="12">
        <v>4.5</v>
      </c>
      <c r="C49" s="13">
        <v>135</v>
      </c>
    </row>
    <row r="50" spans="1:3" x14ac:dyDescent="0.3">
      <c r="A50" s="10" t="s">
        <v>15</v>
      </c>
      <c r="B50" s="12">
        <v>83.83</v>
      </c>
      <c r="C50" s="13">
        <v>1457.67</v>
      </c>
    </row>
    <row r="51" spans="1:3" x14ac:dyDescent="0.3">
      <c r="A51" s="11" t="s">
        <v>7</v>
      </c>
      <c r="B51" s="12">
        <v>80</v>
      </c>
      <c r="C51" s="13">
        <v>1360</v>
      </c>
    </row>
    <row r="52" spans="1:3" x14ac:dyDescent="0.3">
      <c r="A52" s="11" t="s">
        <v>20</v>
      </c>
      <c r="B52" s="12">
        <v>3.83</v>
      </c>
      <c r="C52" s="13">
        <v>97.67</v>
      </c>
    </row>
    <row r="53" spans="1:3" x14ac:dyDescent="0.3">
      <c r="A53" s="10" t="s">
        <v>12</v>
      </c>
      <c r="B53" s="12">
        <v>83.31</v>
      </c>
      <c r="C53" s="13">
        <v>1444.41</v>
      </c>
    </row>
    <row r="54" spans="1:3" x14ac:dyDescent="0.3">
      <c r="A54" s="11" t="s">
        <v>7</v>
      </c>
      <c r="B54" s="12">
        <v>80</v>
      </c>
      <c r="C54" s="13">
        <v>1360</v>
      </c>
    </row>
    <row r="55" spans="1:3" x14ac:dyDescent="0.3">
      <c r="A55" s="11" t="s">
        <v>20</v>
      </c>
      <c r="B55" s="12">
        <v>3.31</v>
      </c>
      <c r="C55" s="13">
        <v>84.41</v>
      </c>
    </row>
    <row r="56" spans="1:3" x14ac:dyDescent="0.3">
      <c r="A56" s="10" t="s">
        <v>47</v>
      </c>
      <c r="B56" s="12">
        <v>82.85</v>
      </c>
      <c r="C56" s="13">
        <v>1685.5</v>
      </c>
    </row>
    <row r="57" spans="1:3" x14ac:dyDescent="0.3">
      <c r="A57" s="11" t="s">
        <v>7</v>
      </c>
      <c r="B57" s="12">
        <v>80</v>
      </c>
      <c r="C57" s="13">
        <v>1600</v>
      </c>
    </row>
    <row r="58" spans="1:3" x14ac:dyDescent="0.3">
      <c r="A58" s="11" t="s">
        <v>20</v>
      </c>
      <c r="B58" s="12">
        <v>2.85</v>
      </c>
      <c r="C58" s="13">
        <v>85.5</v>
      </c>
    </row>
    <row r="59" spans="1:3" x14ac:dyDescent="0.3">
      <c r="A59" s="10" t="s">
        <v>9</v>
      </c>
      <c r="B59" s="12">
        <v>82.12</v>
      </c>
      <c r="C59" s="13">
        <v>1414.06</v>
      </c>
    </row>
    <row r="60" spans="1:3" x14ac:dyDescent="0.3">
      <c r="A60" s="11" t="s">
        <v>7</v>
      </c>
      <c r="B60" s="12">
        <v>80</v>
      </c>
      <c r="C60" s="13">
        <v>1360</v>
      </c>
    </row>
    <row r="61" spans="1:3" x14ac:dyDescent="0.3">
      <c r="A61" s="11" t="s">
        <v>20</v>
      </c>
      <c r="B61" s="12">
        <v>2.12</v>
      </c>
      <c r="C61" s="13">
        <v>54.06</v>
      </c>
    </row>
    <row r="62" spans="1:3" x14ac:dyDescent="0.3">
      <c r="A62" s="10" t="s">
        <v>36</v>
      </c>
      <c r="B62" s="12">
        <v>81.849999999999994</v>
      </c>
      <c r="C62" s="13">
        <v>2069.38</v>
      </c>
    </row>
    <row r="63" spans="1:3" x14ac:dyDescent="0.3">
      <c r="A63" s="11" t="s">
        <v>7</v>
      </c>
      <c r="B63" s="12">
        <v>80</v>
      </c>
      <c r="C63" s="13">
        <v>2000</v>
      </c>
    </row>
    <row r="64" spans="1:3" x14ac:dyDescent="0.3">
      <c r="A64" s="11" t="s">
        <v>20</v>
      </c>
      <c r="B64" s="12">
        <v>1.85</v>
      </c>
      <c r="C64" s="13">
        <v>69.38</v>
      </c>
    </row>
    <row r="65" spans="1:3" x14ac:dyDescent="0.3">
      <c r="A65" s="10" t="s">
        <v>40</v>
      </c>
      <c r="B65" s="12">
        <v>80.92</v>
      </c>
      <c r="C65" s="13">
        <v>1139.32</v>
      </c>
    </row>
    <row r="66" spans="1:3" x14ac:dyDescent="0.3">
      <c r="A66" s="11" t="s">
        <v>7</v>
      </c>
      <c r="B66" s="12">
        <v>80</v>
      </c>
      <c r="C66" s="13">
        <v>1120</v>
      </c>
    </row>
    <row r="67" spans="1:3" x14ac:dyDescent="0.3">
      <c r="A67" s="11" t="s">
        <v>20</v>
      </c>
      <c r="B67" s="12">
        <v>0.92</v>
      </c>
      <c r="C67" s="13">
        <v>19.32</v>
      </c>
    </row>
    <row r="68" spans="1:3" x14ac:dyDescent="0.3">
      <c r="A68" s="10" t="s">
        <v>60</v>
      </c>
      <c r="B68" s="12">
        <v>80</v>
      </c>
      <c r="C68" s="13">
        <v>2859.16</v>
      </c>
    </row>
    <row r="69" spans="1:3" x14ac:dyDescent="0.3">
      <c r="A69" s="11" t="s">
        <v>7</v>
      </c>
      <c r="B69" s="12">
        <v>80</v>
      </c>
      <c r="C69" s="13">
        <v>2500</v>
      </c>
    </row>
    <row r="70" spans="1:3" x14ac:dyDescent="0.3">
      <c r="A70" s="11" t="s">
        <v>28</v>
      </c>
      <c r="B70" s="12">
        <v>0</v>
      </c>
      <c r="C70" s="13">
        <v>48.43</v>
      </c>
    </row>
    <row r="71" spans="1:3" x14ac:dyDescent="0.3">
      <c r="A71" s="11" t="s">
        <v>27</v>
      </c>
      <c r="B71" s="12">
        <v>0</v>
      </c>
      <c r="C71" s="13">
        <v>310.73</v>
      </c>
    </row>
    <row r="72" spans="1:3" x14ac:dyDescent="0.3">
      <c r="A72" s="10" t="s">
        <v>41</v>
      </c>
      <c r="B72" s="12">
        <v>80</v>
      </c>
      <c r="C72" s="13">
        <v>3076.93</v>
      </c>
    </row>
    <row r="73" spans="1:3" x14ac:dyDescent="0.3">
      <c r="A73" s="11" t="s">
        <v>7</v>
      </c>
      <c r="B73" s="12">
        <v>80</v>
      </c>
      <c r="C73" s="13">
        <v>3076.93</v>
      </c>
    </row>
    <row r="74" spans="1:3" x14ac:dyDescent="0.3">
      <c r="A74" s="10" t="s">
        <v>44</v>
      </c>
      <c r="B74" s="12">
        <v>80</v>
      </c>
      <c r="C74" s="13">
        <v>2993.2799999999997</v>
      </c>
    </row>
    <row r="75" spans="1:3" x14ac:dyDescent="0.3">
      <c r="A75" s="11" t="s">
        <v>7</v>
      </c>
      <c r="B75" s="12">
        <v>80</v>
      </c>
      <c r="C75" s="13">
        <v>2307.6999999999998</v>
      </c>
    </row>
    <row r="76" spans="1:3" x14ac:dyDescent="0.3">
      <c r="A76" s="11" t="s">
        <v>28</v>
      </c>
      <c r="B76" s="12">
        <v>0</v>
      </c>
      <c r="C76" s="13">
        <v>685.58</v>
      </c>
    </row>
    <row r="77" spans="1:3" x14ac:dyDescent="0.3">
      <c r="A77" s="10" t="s">
        <v>24</v>
      </c>
      <c r="B77" s="12">
        <v>80</v>
      </c>
      <c r="C77" s="13">
        <v>7531.0300000000007</v>
      </c>
    </row>
    <row r="78" spans="1:3" x14ac:dyDescent="0.3">
      <c r="A78" s="11" t="s">
        <v>7</v>
      </c>
      <c r="B78" s="12">
        <v>80</v>
      </c>
      <c r="C78" s="13">
        <v>3076.93</v>
      </c>
    </row>
    <row r="79" spans="1:3" x14ac:dyDescent="0.3">
      <c r="A79" s="11" t="s">
        <v>28</v>
      </c>
      <c r="B79" s="12">
        <v>0</v>
      </c>
      <c r="C79" s="13">
        <v>4454.1000000000004</v>
      </c>
    </row>
    <row r="80" spans="1:3" x14ac:dyDescent="0.3">
      <c r="A80" s="10" t="s">
        <v>26</v>
      </c>
      <c r="B80" s="12">
        <v>80</v>
      </c>
      <c r="C80" s="13">
        <v>4006.92</v>
      </c>
    </row>
    <row r="81" spans="1:3" x14ac:dyDescent="0.3">
      <c r="A81" s="11" t="s">
        <v>7</v>
      </c>
      <c r="B81" s="12">
        <v>72</v>
      </c>
      <c r="C81" s="13">
        <v>2215.38</v>
      </c>
    </row>
    <row r="82" spans="1:3" x14ac:dyDescent="0.3">
      <c r="A82" s="11" t="s">
        <v>21</v>
      </c>
      <c r="B82" s="12">
        <v>8</v>
      </c>
      <c r="C82" s="13">
        <v>246.14999999999998</v>
      </c>
    </row>
    <row r="83" spans="1:3" x14ac:dyDescent="0.3">
      <c r="A83" s="11" t="s">
        <v>28</v>
      </c>
      <c r="B83" s="12">
        <v>0</v>
      </c>
      <c r="C83" s="13">
        <v>1500</v>
      </c>
    </row>
    <row r="84" spans="1:3" x14ac:dyDescent="0.3">
      <c r="A84" s="11" t="s">
        <v>27</v>
      </c>
      <c r="B84" s="12">
        <v>0</v>
      </c>
      <c r="C84" s="13">
        <v>45.39</v>
      </c>
    </row>
    <row r="85" spans="1:3" x14ac:dyDescent="0.3">
      <c r="A85" s="10" t="s">
        <v>61</v>
      </c>
      <c r="B85" s="12">
        <v>80</v>
      </c>
      <c r="C85" s="13">
        <v>24276.09</v>
      </c>
    </row>
    <row r="86" spans="1:3" x14ac:dyDescent="0.3">
      <c r="A86" s="11" t="s">
        <v>7</v>
      </c>
      <c r="B86" s="12">
        <v>80</v>
      </c>
      <c r="C86" s="13">
        <v>24276.09</v>
      </c>
    </row>
    <row r="87" spans="1:3" x14ac:dyDescent="0.3">
      <c r="A87" s="10" t="s">
        <v>62</v>
      </c>
      <c r="B87" s="12">
        <v>80</v>
      </c>
      <c r="C87" s="13">
        <v>2775.73</v>
      </c>
    </row>
    <row r="88" spans="1:3" x14ac:dyDescent="0.3">
      <c r="A88" s="11" t="s">
        <v>7</v>
      </c>
      <c r="B88" s="12">
        <v>80</v>
      </c>
      <c r="C88" s="13">
        <v>2307.69</v>
      </c>
    </row>
    <row r="89" spans="1:3" x14ac:dyDescent="0.3">
      <c r="A89" s="11" t="s">
        <v>28</v>
      </c>
      <c r="B89" s="12">
        <v>0</v>
      </c>
      <c r="C89" s="13">
        <v>468.04</v>
      </c>
    </row>
    <row r="90" spans="1:3" x14ac:dyDescent="0.3">
      <c r="A90" s="10" t="s">
        <v>63</v>
      </c>
      <c r="B90" s="12">
        <v>80</v>
      </c>
      <c r="C90" s="13">
        <v>2468.5300000000002</v>
      </c>
    </row>
    <row r="91" spans="1:3" x14ac:dyDescent="0.3">
      <c r="A91" s="11" t="s">
        <v>7</v>
      </c>
      <c r="B91" s="12">
        <v>72</v>
      </c>
      <c r="C91" s="13">
        <v>2215.38</v>
      </c>
    </row>
    <row r="92" spans="1:3" x14ac:dyDescent="0.3">
      <c r="A92" s="11" t="s">
        <v>21</v>
      </c>
      <c r="B92" s="12">
        <v>8</v>
      </c>
      <c r="C92" s="13">
        <v>246.15</v>
      </c>
    </row>
    <row r="93" spans="1:3" x14ac:dyDescent="0.3">
      <c r="A93" s="11" t="s">
        <v>66</v>
      </c>
      <c r="B93" s="12">
        <v>0</v>
      </c>
      <c r="C93" s="13">
        <v>7</v>
      </c>
    </row>
    <row r="94" spans="1:3" x14ac:dyDescent="0.3">
      <c r="A94" s="10" t="s">
        <v>43</v>
      </c>
      <c r="B94" s="12">
        <v>79.680000000000007</v>
      </c>
      <c r="C94" s="13">
        <v>1314.72</v>
      </c>
    </row>
    <row r="95" spans="1:3" x14ac:dyDescent="0.3">
      <c r="A95" s="11" t="s">
        <v>7</v>
      </c>
      <c r="B95" s="12">
        <v>76.680000000000007</v>
      </c>
      <c r="C95" s="13">
        <v>1265.22</v>
      </c>
    </row>
    <row r="96" spans="1:3" x14ac:dyDescent="0.3">
      <c r="A96" s="11" t="s">
        <v>21</v>
      </c>
      <c r="B96" s="12">
        <v>3</v>
      </c>
      <c r="C96" s="13">
        <v>49.5</v>
      </c>
    </row>
    <row r="97" spans="1:3" x14ac:dyDescent="0.3">
      <c r="A97" s="10" t="s">
        <v>32</v>
      </c>
      <c r="B97" s="12">
        <v>78.39</v>
      </c>
      <c r="C97" s="13">
        <v>1191.53</v>
      </c>
    </row>
    <row r="98" spans="1:3" x14ac:dyDescent="0.3">
      <c r="A98" s="11" t="s">
        <v>7</v>
      </c>
      <c r="B98" s="12">
        <v>76.3</v>
      </c>
      <c r="C98" s="13">
        <v>1144.5</v>
      </c>
    </row>
    <row r="99" spans="1:3" x14ac:dyDescent="0.3">
      <c r="A99" s="11" t="s">
        <v>20</v>
      </c>
      <c r="B99" s="12">
        <v>2.09</v>
      </c>
      <c r="C99" s="13">
        <v>47.03</v>
      </c>
    </row>
    <row r="100" spans="1:3" x14ac:dyDescent="0.3">
      <c r="A100" s="10" t="s">
        <v>8</v>
      </c>
      <c r="B100" s="12">
        <v>78.309999999999988</v>
      </c>
      <c r="C100" s="13">
        <v>1809.34</v>
      </c>
    </row>
    <row r="101" spans="1:3" x14ac:dyDescent="0.3">
      <c r="A101" s="11" t="s">
        <v>7</v>
      </c>
      <c r="B101" s="12">
        <v>74.099999999999994</v>
      </c>
      <c r="C101" s="13">
        <v>1667.25</v>
      </c>
    </row>
    <row r="102" spans="1:3" x14ac:dyDescent="0.3">
      <c r="A102" s="11" t="s">
        <v>20</v>
      </c>
      <c r="B102" s="12">
        <v>4.21</v>
      </c>
      <c r="C102" s="13">
        <v>142.09</v>
      </c>
    </row>
    <row r="103" spans="1:3" x14ac:dyDescent="0.3">
      <c r="A103" s="10" t="s">
        <v>45</v>
      </c>
      <c r="B103" s="12">
        <v>78.14</v>
      </c>
      <c r="C103" s="13">
        <v>1332.8899999999999</v>
      </c>
    </row>
    <row r="104" spans="1:3" x14ac:dyDescent="0.3">
      <c r="A104" s="11" t="s">
        <v>7</v>
      </c>
      <c r="B104" s="12">
        <v>77.61</v>
      </c>
      <c r="C104" s="13">
        <v>1319.37</v>
      </c>
    </row>
    <row r="105" spans="1:3" x14ac:dyDescent="0.3">
      <c r="A105" s="11" t="s">
        <v>20</v>
      </c>
      <c r="B105" s="12">
        <v>0.53</v>
      </c>
      <c r="C105" s="13">
        <v>13.52</v>
      </c>
    </row>
    <row r="106" spans="1:3" x14ac:dyDescent="0.3">
      <c r="A106" s="10" t="s">
        <v>6</v>
      </c>
      <c r="B106" s="12">
        <v>72.64</v>
      </c>
      <c r="C106" s="13">
        <v>1307.52</v>
      </c>
    </row>
    <row r="107" spans="1:3" x14ac:dyDescent="0.3">
      <c r="A107" s="11" t="s">
        <v>7</v>
      </c>
      <c r="B107" s="12">
        <v>56.64</v>
      </c>
      <c r="C107" s="13">
        <v>1019.52</v>
      </c>
    </row>
    <row r="108" spans="1:3" x14ac:dyDescent="0.3">
      <c r="A108" s="11" t="s">
        <v>21</v>
      </c>
      <c r="B108" s="12">
        <v>16</v>
      </c>
      <c r="C108" s="13">
        <v>288</v>
      </c>
    </row>
    <row r="109" spans="1:3" x14ac:dyDescent="0.3">
      <c r="A109" s="10" t="s">
        <v>19</v>
      </c>
      <c r="B109" s="12">
        <v>71.89</v>
      </c>
      <c r="C109" s="13">
        <v>1225.79</v>
      </c>
    </row>
    <row r="110" spans="1:3" x14ac:dyDescent="0.3">
      <c r="A110" s="11" t="s">
        <v>7</v>
      </c>
      <c r="B110" s="12">
        <v>71.459999999999994</v>
      </c>
      <c r="C110" s="13">
        <v>1214.82</v>
      </c>
    </row>
    <row r="111" spans="1:3" x14ac:dyDescent="0.3">
      <c r="A111" s="11" t="s">
        <v>20</v>
      </c>
      <c r="B111" s="12">
        <v>0.43</v>
      </c>
      <c r="C111" s="13">
        <v>10.97</v>
      </c>
    </row>
    <row r="112" spans="1:3" x14ac:dyDescent="0.3">
      <c r="A112" s="10" t="s">
        <v>14</v>
      </c>
      <c r="B112" s="12">
        <v>71.8</v>
      </c>
      <c r="C112" s="13">
        <v>1866.8</v>
      </c>
    </row>
    <row r="113" spans="1:3" x14ac:dyDescent="0.3">
      <c r="A113" s="11" t="s">
        <v>7</v>
      </c>
      <c r="B113" s="12">
        <v>39.799999999999997</v>
      </c>
      <c r="C113" s="13">
        <v>1034.8</v>
      </c>
    </row>
    <row r="114" spans="1:3" x14ac:dyDescent="0.3">
      <c r="A114" s="11" t="s">
        <v>21</v>
      </c>
      <c r="B114" s="12">
        <v>32</v>
      </c>
      <c r="C114" s="13">
        <v>832</v>
      </c>
    </row>
    <row r="115" spans="1:3" x14ac:dyDescent="0.3">
      <c r="A115" s="10" t="s">
        <v>35</v>
      </c>
      <c r="B115" s="12">
        <v>71.11</v>
      </c>
      <c r="C115" s="13">
        <v>1137.76</v>
      </c>
    </row>
    <row r="116" spans="1:3" x14ac:dyDescent="0.3">
      <c r="A116" s="11" t="s">
        <v>7</v>
      </c>
      <c r="B116" s="12">
        <v>71.11</v>
      </c>
      <c r="C116" s="13">
        <v>1137.76</v>
      </c>
    </row>
    <row r="117" spans="1:3" x14ac:dyDescent="0.3">
      <c r="A117" s="10" t="s">
        <v>31</v>
      </c>
      <c r="B117" s="12">
        <v>69.430000000000007</v>
      </c>
      <c r="C117" s="13">
        <v>1041.45</v>
      </c>
    </row>
    <row r="118" spans="1:3" x14ac:dyDescent="0.3">
      <c r="A118" s="11" t="s">
        <v>7</v>
      </c>
      <c r="B118" s="12">
        <v>69.430000000000007</v>
      </c>
      <c r="C118" s="13">
        <v>1041.45</v>
      </c>
    </row>
    <row r="119" spans="1:3" x14ac:dyDescent="0.3">
      <c r="A119" s="10" t="s">
        <v>16</v>
      </c>
      <c r="B119" s="12">
        <v>66.94</v>
      </c>
      <c r="C119" s="13">
        <v>1472.68</v>
      </c>
    </row>
    <row r="120" spans="1:3" x14ac:dyDescent="0.3">
      <c r="A120" s="11" t="s">
        <v>7</v>
      </c>
      <c r="B120" s="12">
        <v>66.94</v>
      </c>
      <c r="C120" s="13">
        <v>1472.68</v>
      </c>
    </row>
    <row r="121" spans="1:3" x14ac:dyDescent="0.3">
      <c r="A121" s="10" t="s">
        <v>34</v>
      </c>
      <c r="B121" s="12">
        <v>66.55</v>
      </c>
      <c r="C121" s="13">
        <v>1331</v>
      </c>
    </row>
    <row r="122" spans="1:3" x14ac:dyDescent="0.3">
      <c r="A122" s="11" t="s">
        <v>7</v>
      </c>
      <c r="B122" s="12">
        <v>66.55</v>
      </c>
      <c r="C122" s="13">
        <v>1331</v>
      </c>
    </row>
    <row r="123" spans="1:3" x14ac:dyDescent="0.3">
      <c r="A123" s="10" t="s">
        <v>64</v>
      </c>
      <c r="B123" s="12">
        <v>66.28</v>
      </c>
      <c r="C123" s="13">
        <v>1723.28</v>
      </c>
    </row>
    <row r="124" spans="1:3" x14ac:dyDescent="0.3">
      <c r="A124" s="11" t="s">
        <v>7</v>
      </c>
      <c r="B124" s="12">
        <v>66.28</v>
      </c>
      <c r="C124" s="13">
        <v>1723.28</v>
      </c>
    </row>
    <row r="125" spans="1:3" x14ac:dyDescent="0.3">
      <c r="A125" s="10" t="s">
        <v>46</v>
      </c>
      <c r="B125" s="12">
        <v>61.82</v>
      </c>
      <c r="C125" s="13">
        <v>989.12</v>
      </c>
    </row>
    <row r="126" spans="1:3" x14ac:dyDescent="0.3">
      <c r="A126" s="11" t="s">
        <v>7</v>
      </c>
      <c r="B126" s="12">
        <v>61.82</v>
      </c>
      <c r="C126" s="13">
        <v>989.12</v>
      </c>
    </row>
    <row r="127" spans="1:3" x14ac:dyDescent="0.3">
      <c r="A127" s="10" t="s">
        <v>49</v>
      </c>
      <c r="B127" s="12">
        <v>54.67</v>
      </c>
      <c r="C127" s="13">
        <v>874.72</v>
      </c>
    </row>
    <row r="128" spans="1:3" x14ac:dyDescent="0.3">
      <c r="A128" s="11" t="s">
        <v>7</v>
      </c>
      <c r="B128" s="12">
        <v>54.67</v>
      </c>
      <c r="C128" s="13">
        <v>874.72</v>
      </c>
    </row>
    <row r="129" spans="1:3" x14ac:dyDescent="0.3">
      <c r="A129" s="10" t="s">
        <v>58</v>
      </c>
      <c r="B129" s="12">
        <v>52.81</v>
      </c>
      <c r="C129" s="13">
        <v>660.13</v>
      </c>
    </row>
    <row r="130" spans="1:3" x14ac:dyDescent="0.3">
      <c r="A130" s="11" t="s">
        <v>7</v>
      </c>
      <c r="B130" s="12">
        <v>52.81</v>
      </c>
      <c r="C130" s="13">
        <v>660.13</v>
      </c>
    </row>
    <row r="131" spans="1:3" x14ac:dyDescent="0.3">
      <c r="A131" s="10" t="s">
        <v>53</v>
      </c>
      <c r="B131" s="12">
        <v>51.26</v>
      </c>
      <c r="C131" s="13">
        <v>602.30999999999995</v>
      </c>
    </row>
    <row r="132" spans="1:3" x14ac:dyDescent="0.3">
      <c r="A132" s="11" t="s">
        <v>7</v>
      </c>
      <c r="B132" s="12">
        <v>51.26</v>
      </c>
      <c r="C132" s="13">
        <v>602.30999999999995</v>
      </c>
    </row>
    <row r="133" spans="1:3" x14ac:dyDescent="0.3">
      <c r="A133" s="10" t="s">
        <v>55</v>
      </c>
      <c r="B133" s="12">
        <v>49.34</v>
      </c>
      <c r="C133" s="13">
        <v>616.75</v>
      </c>
    </row>
    <row r="134" spans="1:3" x14ac:dyDescent="0.3">
      <c r="A134" s="11" t="s">
        <v>7</v>
      </c>
      <c r="B134" s="12">
        <v>49.34</v>
      </c>
      <c r="C134" s="13">
        <v>616.75</v>
      </c>
    </row>
    <row r="135" spans="1:3" x14ac:dyDescent="0.3">
      <c r="A135" s="10" t="s">
        <v>65</v>
      </c>
      <c r="B135" s="12">
        <v>46.53</v>
      </c>
      <c r="C135" s="13">
        <v>1628.55</v>
      </c>
    </row>
    <row r="136" spans="1:3" x14ac:dyDescent="0.3">
      <c r="A136" s="11" t="s">
        <v>7</v>
      </c>
      <c r="B136" s="12">
        <v>46.53</v>
      </c>
      <c r="C136" s="13">
        <v>1628.55</v>
      </c>
    </row>
    <row r="137" spans="1:3" x14ac:dyDescent="0.3">
      <c r="A137" s="10" t="s">
        <v>50</v>
      </c>
      <c r="B137" s="12">
        <v>45.19</v>
      </c>
      <c r="C137" s="13">
        <v>542.28</v>
      </c>
    </row>
    <row r="138" spans="1:3" x14ac:dyDescent="0.3">
      <c r="A138" s="11" t="s">
        <v>7</v>
      </c>
      <c r="B138" s="12">
        <v>45.19</v>
      </c>
      <c r="C138" s="13">
        <v>542.28</v>
      </c>
    </row>
    <row r="139" spans="1:3" x14ac:dyDescent="0.3">
      <c r="A139" s="10" t="s">
        <v>59</v>
      </c>
      <c r="B139" s="12">
        <v>36.840000000000003</v>
      </c>
      <c r="C139" s="13">
        <v>405.24</v>
      </c>
    </row>
    <row r="140" spans="1:3" x14ac:dyDescent="0.3">
      <c r="A140" s="11" t="s">
        <v>7</v>
      </c>
      <c r="B140" s="12">
        <v>36.840000000000003</v>
      </c>
      <c r="C140" s="13">
        <v>405.24</v>
      </c>
    </row>
    <row r="141" spans="1:3" x14ac:dyDescent="0.3">
      <c r="A141" s="10" t="s">
        <v>56</v>
      </c>
      <c r="B141" s="12">
        <v>33.75</v>
      </c>
      <c r="C141" s="13">
        <v>337.5</v>
      </c>
    </row>
    <row r="142" spans="1:3" x14ac:dyDescent="0.3">
      <c r="A142" s="11" t="s">
        <v>7</v>
      </c>
      <c r="B142" s="12">
        <v>33.75</v>
      </c>
      <c r="C142" s="13">
        <v>337.5</v>
      </c>
    </row>
    <row r="143" spans="1:3" x14ac:dyDescent="0.3">
      <c r="A143" s="10" t="s">
        <v>52</v>
      </c>
      <c r="B143" s="12">
        <v>28.42</v>
      </c>
      <c r="C143" s="13">
        <v>341.04</v>
      </c>
    </row>
    <row r="144" spans="1:3" x14ac:dyDescent="0.3">
      <c r="A144" s="11" t="s">
        <v>7</v>
      </c>
      <c r="B144" s="12">
        <v>28.42</v>
      </c>
      <c r="C144" s="13">
        <v>341.04</v>
      </c>
    </row>
    <row r="145" spans="1:3" x14ac:dyDescent="0.3">
      <c r="A145" s="10" t="s">
        <v>51</v>
      </c>
      <c r="B145" s="12">
        <v>18.43</v>
      </c>
      <c r="C145" s="13">
        <v>221.16</v>
      </c>
    </row>
    <row r="146" spans="1:3" x14ac:dyDescent="0.3">
      <c r="A146" s="11" t="s">
        <v>7</v>
      </c>
      <c r="B146" s="12">
        <v>18.43</v>
      </c>
      <c r="C146" s="13">
        <v>221.16</v>
      </c>
    </row>
    <row r="147" spans="1:3" x14ac:dyDescent="0.3">
      <c r="A147" s="10" t="s">
        <v>17</v>
      </c>
      <c r="B147" s="12">
        <v>16.059999999999999</v>
      </c>
      <c r="C147" s="13">
        <v>273.02</v>
      </c>
    </row>
    <row r="148" spans="1:3" x14ac:dyDescent="0.3">
      <c r="A148" s="11" t="s">
        <v>7</v>
      </c>
      <c r="B148" s="12">
        <v>16.059999999999999</v>
      </c>
      <c r="C148" s="13">
        <v>273.02</v>
      </c>
    </row>
    <row r="149" spans="1:3" x14ac:dyDescent="0.3">
      <c r="A149" s="10" t="s">
        <v>57</v>
      </c>
      <c r="B149" s="12">
        <v>13.77</v>
      </c>
      <c r="C149" s="13">
        <v>172.13</v>
      </c>
    </row>
    <row r="150" spans="1:3" x14ac:dyDescent="0.3">
      <c r="A150" s="11" t="s">
        <v>7</v>
      </c>
      <c r="B150" s="12">
        <v>13.77</v>
      </c>
      <c r="C150" s="13">
        <v>172.13</v>
      </c>
    </row>
    <row r="151" spans="1:3" x14ac:dyDescent="0.3">
      <c r="A151" s="10" t="s">
        <v>23</v>
      </c>
      <c r="B151" s="12">
        <v>0</v>
      </c>
      <c r="C151" s="13">
        <v>9100</v>
      </c>
    </row>
    <row r="152" spans="1:3" x14ac:dyDescent="0.3">
      <c r="A152" s="11" t="s">
        <v>7</v>
      </c>
      <c r="B152" s="12">
        <v>0</v>
      </c>
      <c r="C152" s="13">
        <v>9100</v>
      </c>
    </row>
    <row r="153" spans="1:3" x14ac:dyDescent="0.3">
      <c r="A153" s="10" t="s">
        <v>88</v>
      </c>
      <c r="B153" s="12">
        <v>3748.6800000000003</v>
      </c>
      <c r="C153" s="13">
        <v>123224.34000000005</v>
      </c>
    </row>
  </sheetData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LaborDistributionDetailExport</vt:lpstr>
      <vt:lpstr>Pivot Tables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McGee</cp:lastModifiedBy>
  <dcterms:modified xsi:type="dcterms:W3CDTF">2026-05-22T14:33:00Z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