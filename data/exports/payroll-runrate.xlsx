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Department Summary" state="visible" r:id="rId4"/>
    <sheet sheetId="2" name="Employee Roster" state="visible" r:id="rId5"/>
    <sheet sheetId="3" name="Payroll Detail" state="visible" r:id="rId6"/>
  </sheets>
  <calcPr calcId="171027"/>
</workbook>
</file>

<file path=xl/sharedStrings.xml><?xml version="1.0" encoding="utf-8"?>
<sst xmlns="http://schemas.openxmlformats.org/spreadsheetml/2006/main" count="733" uniqueCount="115">
  <si>
    <t>Monthly Run-Rate Multiplier</t>
  </si>
  <si>
    <t>Bi-weekly × this number = monthly</t>
  </si>
  <si>
    <t>← edit to 2.0 for "two paychecks per month", or 26/12 ≈ 2.1667 for annualized run-rate</t>
  </si>
  <si>
    <t>Department</t>
  </si>
  <si>
    <t>Headcount (Included)</t>
  </si>
  <si>
    <t>Bi-Weekly Hours</t>
  </si>
  <si>
    <t>Bi-Weekly Pay</t>
  </si>
  <si>
    <t>Monthly Hours</t>
  </si>
  <si>
    <t>Monthly Pay</t>
  </si>
  <si>
    <t>Fixed</t>
  </si>
  <si>
    <t>Removable</t>
  </si>
  <si>
    <t>Admin</t>
  </si>
  <si>
    <t>Drivers</t>
  </si>
  <si>
    <t>Operations</t>
  </si>
  <si>
    <t>GRAND TOTAL</t>
  </si>
  <si>
    <t>Baseline (locked snapshot — what you started with)</t>
  </si>
  <si>
    <t>Bi-Weekly Pay (baseline)</t>
  </si>
  <si>
    <t>Monthly Pay (baseline)</t>
  </si>
  <si>
    <t>Δ Bi-Weekly Pay</t>
  </si>
  <si>
    <t>Δ Monthly Pay</t>
  </si>
  <si>
    <t>% Cut</t>
  </si>
  <si>
    <t>How to use this workbook</t>
  </si>
  <si>
    <t>1. Go to the "Employee Roster" sheet. The yellow cells are editable: Include? (Y/N), Bi-Weekly Hours, Bi-Weekly Pay.</t>
  </si>
  <si>
    <t>2. To simulate cutting an employee, set their Include? to N. Their hours and pay drop out of the totals immediately.</t>
  </si>
  <si>
    <t>3. To model a pay/hours change, edit the yellow Hours or Pay cell. Monthly columns recalculate automatically.</t>
  </si>
  <si>
    <t>4. This "Department Summary" sheet shows the live result (top block) vs the locked starting baseline (bottom block) so you can see the delta and % cut by department.</t>
  </si>
  <si>
    <t>5. The Run-Rate Multiplier (B2) defaults to 26/12 ≈ 2.1667 (annualized). Change it to 2.0 if you prefer a "two paychecks per month" view.</t>
  </si>
  <si>
    <t>6. Employees appearing in multiple departments (e.g. Akins, Glover, House, Williams) have one row per department — cut them independently.</t>
  </si>
  <si>
    <t>7. The "Payroll Detail" sheet keeps the raw source rows (Regular / OT / PTO / Reimb) for audit. It is not used in the totals.</t>
  </si>
  <si>
    <t>Dept #</t>
  </si>
  <si>
    <t>Employee Name</t>
  </si>
  <si>
    <t>Include?</t>
  </si>
  <si>
    <t>1 - 980 Fixed</t>
  </si>
  <si>
    <t>Abart, Mary C</t>
  </si>
  <si>
    <t>Y</t>
  </si>
  <si>
    <t>Akins, Sean-Michael M</t>
  </si>
  <si>
    <t>ASMAR, AYIA</t>
  </si>
  <si>
    <t>Coughlin, William C</t>
  </si>
  <si>
    <t>Cummings, Vera A</t>
  </si>
  <si>
    <t>Gainey, Chase M</t>
  </si>
  <si>
    <t>Glover, Kelsey Tashae</t>
  </si>
  <si>
    <t>Grubb, Durand C</t>
  </si>
  <si>
    <t>Guardiola, Melissa G</t>
  </si>
  <si>
    <t>Guin, Richard A</t>
  </si>
  <si>
    <t>Gutierrez, Matias R</t>
  </si>
  <si>
    <t>House, James Elisha</t>
  </si>
  <si>
    <t>Jarvis, Brittany D</t>
  </si>
  <si>
    <t>Jeansonne, Ethan</t>
  </si>
  <si>
    <t>McGovern, Nancy J</t>
  </si>
  <si>
    <t>Sleppy, Daniel</t>
  </si>
  <si>
    <t>Thomas, Colia</t>
  </si>
  <si>
    <t>Williams, Alexander Ray</t>
  </si>
  <si>
    <t>Williams, Tommy John</t>
  </si>
  <si>
    <t>2 - 990 Removable</t>
  </si>
  <si>
    <t>Bateman, Marisa Jolie</t>
  </si>
  <si>
    <t>Erving, Jerome</t>
  </si>
  <si>
    <t>Gilchrist, Nicholas Ryan</t>
  </si>
  <si>
    <t>Guardiola, Greg</t>
  </si>
  <si>
    <t>Ibrahim, Ali</t>
  </si>
  <si>
    <t>Krause, Daniela</t>
  </si>
  <si>
    <t>Phillips, Nelson H</t>
  </si>
  <si>
    <t>Ross, Marissa M</t>
  </si>
  <si>
    <t>Saleh, Mohamad</t>
  </si>
  <si>
    <t>Sanders, Eric D</t>
  </si>
  <si>
    <t>Smith, Tashauna</t>
  </si>
  <si>
    <t>Stroud, William Isaiah</t>
  </si>
  <si>
    <t>Westbrook, Jordyn</t>
  </si>
  <si>
    <t>3 - 201 Admin</t>
  </si>
  <si>
    <t>Bateman, Madelyn</t>
  </si>
  <si>
    <t>Copeland, Melanie K</t>
  </si>
  <si>
    <t>Dyson, Taviana</t>
  </si>
  <si>
    <t>Jarrell, Sarah Ann</t>
  </si>
  <si>
    <t>Lingerfelt, Karen</t>
  </si>
  <si>
    <t>McGowan, Tonya Lynette</t>
  </si>
  <si>
    <t>Shepard Williams, Regina</t>
  </si>
  <si>
    <t>4 - 202 Drivers</t>
  </si>
  <si>
    <t>Burk Sr., Steven L</t>
  </si>
  <si>
    <t>Easter, Debra</t>
  </si>
  <si>
    <t>Hall, Alan Wayne</t>
  </si>
  <si>
    <t>McConnell, David Duane</t>
  </si>
  <si>
    <t>Neff, Troy</t>
  </si>
  <si>
    <t>Quinn, Daniel Joseph</t>
  </si>
  <si>
    <t>Saenger, Christian</t>
  </si>
  <si>
    <t>Shea, John</t>
  </si>
  <si>
    <t>Stewart, William</t>
  </si>
  <si>
    <t>5 - 100 Operations</t>
  </si>
  <si>
    <t>Everitt, Amy Rebecca</t>
  </si>
  <si>
    <t>DAXTON GRUBB</t>
  </si>
  <si>
    <t>Grubb, Daxton C</t>
  </si>
  <si>
    <t>BREE HIGH</t>
  </si>
  <si>
    <t>High, Breanna Medlock</t>
  </si>
  <si>
    <t>Jackson, Paula</t>
  </si>
  <si>
    <t>McFadden, Elissa</t>
  </si>
  <si>
    <t>McGee, Mary Allison</t>
  </si>
  <si>
    <t/>
  </si>
  <si>
    <t>GRAND TOTAL (Included only)</t>
  </si>
  <si>
    <t>Acct #</t>
  </si>
  <si>
    <t>Chart of Accounts</t>
  </si>
  <si>
    <t>Category</t>
  </si>
  <si>
    <t>Hours</t>
  </si>
  <si>
    <t>Dollars</t>
  </si>
  <si>
    <t>5008 - Direct Labor</t>
  </si>
  <si>
    <t>Regular</t>
  </si>
  <si>
    <t>Regular - O/T</t>
  </si>
  <si>
    <t>PTO</t>
  </si>
  <si>
    <t>5009 - Indirect Labor</t>
  </si>
  <si>
    <t>Phone Reimb</t>
  </si>
  <si>
    <t>6001 - Admin Wages</t>
  </si>
  <si>
    <t>6900 - Misc Expense</t>
  </si>
  <si>
    <t>Expense Reimbur</t>
  </si>
  <si>
    <t>5007 - Commissions</t>
  </si>
  <si>
    <t>Commission</t>
  </si>
  <si>
    <t>Non Tax Auto</t>
  </si>
  <si>
    <t>6010 - Employee Benefits</t>
  </si>
  <si>
    <t>TOTAL (raw)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</si>
</sst>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0"/>
    <numFmt numFmtId="165" formatCode="&quot;$&quot;#,##0.00"/>
    <numFmt numFmtId="166" formatCode="&quot;$&quot;#,##0.00;[Red](&quot;$&quot;#,##0.00)"/>
    <numFmt numFmtId="167" formatCode="0.0%"/>
  </numFmts>
  <fonts count="5" x14ac:knownFonts="1">
    <font>
      <color theme="1"/>
      <family val="2"/>
      <scheme val="minor"/>
      <sz val="11"/>
      <name val="Calibri"/>
    </font>
    <font>
      <b/>
    </font>
    <font>
      <i/>
      <color rgb="FF666666"/>
    </font>
    <font>
      <b/>
      <color rgb="FFFFFFFF"/>
    </font>
    <font>
      <b/>
      <i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F7F7F7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double"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164" fontId="0" fillId="2" borderId="1" xfId="0" applyNumberFormat="1" applyFill="1" applyBorder="1"/>
    <xf numFmtId="0" fontId="2" fillId="0" borderId="0" xfId="0" applyFont="1"/>
    <xf numFmtId="0" fontId="3" fillId="3" borderId="0" xfId="0" applyFont="1" applyFill="1" applyAlignment="1">
      <alignment horizontal="center" vertical="center" wrapText="1"/>
    </xf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5" fontId="0" fillId="4" borderId="0" xfId="0" applyNumberFormat="1" applyFill="1"/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2" xfId="0" applyFont="1" applyBorder="1"/>
    <xf numFmtId="1" fontId="1" fillId="0" borderId="2" xfId="0" applyNumberFormat="1" applyFont="1" applyBorder="1"/>
    <xf numFmtId="2" fontId="1" fillId="0" borderId="2" xfId="0" applyNumberFormat="1" applyFont="1" applyBorder="1"/>
    <xf numFmtId="165" fontId="1" fillId="0" borderId="2" xfId="0" applyNumberFormat="1" applyFont="1" applyBorder="1"/>
    <xf numFmtId="0" fontId="4" fillId="0" borderId="0" xfId="0" applyFont="1"/>
    <xf numFmtId="166" fontId="0" fillId="4" borderId="0" xfId="0" applyNumberFormat="1" applyFill="1"/>
    <xf numFmtId="167" fontId="0" fillId="4" borderId="0" xfId="0" applyNumberFormat="1" applyFill="1"/>
    <xf numFmtId="166" fontId="0" fillId="0" borderId="0" xfId="0" applyNumberFormat="1"/>
    <xf numFmtId="167" fontId="0" fillId="0" borderId="0" xfId="0" applyNumberFormat="1"/>
    <xf numFmtId="166" fontId="1" fillId="0" borderId="2" xfId="0" applyNumberFormat="1" applyFont="1" applyBorder="1"/>
    <xf numFmtId="167" fontId="1" fillId="0" borderId="2" xfId="0" applyNumberFormat="1" applyFont="1" applyBorder="1"/>
    <xf numFmtId="0" fontId="0" fillId="0" borderId="0" xfId="0" applyAlignment="1">
      <alignment vertical="top" wrapText="1"/>
    </xf>
    <xf numFmtId="0" fontId="0" fillId="2" borderId="0" xfId="0" applyFill="1" applyAlignment="1">
      <alignment horizontal="center"/>
    </xf>
    <xf numFmtId="2" fontId="0" fillId="2" borderId="0" xfId="0" applyNumberFormat="1" applyFill="1"/>
    <xf numFmtId="165" fontId="0" fillId="2" borderId="0" xfId="0" applyNumberFormat="1" applyFill="1"/>
    <xf numFmtId="2" fontId="3" fillId="3" borderId="0" xfId="0" applyNumberFormat="1" applyFont="1" applyFill="1" applyAlignment="1">
      <alignment horizontal="center" vertical="center" wrapText="1"/>
    </xf>
    <xf numFmtId="165" fontId="3" fillId="3" borderId="0" xfId="0" applyNumberFormat="1" applyFont="1" applyFill="1" applyAlignment="1">
      <alignment horizontal="center" vertical="center" wrapText="1"/>
    </xf>
    <xf numFmtId="0" fontId="1" fillId="0" borderId="3" xfId="0" applyFont="1" applyBorder="1"/>
    <xf numFmtId="2" fontId="1" fillId="0" borderId="3" xfId="0" applyNumberFormat="1" applyFont="1" applyBorder="1"/>
    <xf numFmtId="165" fontId="1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6" width="22" customWidth="1"/>
  </cols>
  <sheetData>
    <row r="1" spans="1:1" x14ac:dyDescent="0.25">
      <c r="A1" s="1" t="s">
        <v>0</v>
      </c>
    </row>
    <row r="2" spans="1:3" x14ac:dyDescent="0.25">
      <c r="A2" t="s">
        <v>1</v>
      </c>
      <c r="B2" s="2">
        <v>2.1666666666666665</v>
      </c>
      <c r="C2" s="3" t="s">
        <v>2</v>
      </c>
    </row>
    <row r="4" ht="28" customHeight="1" spans="1:6" x14ac:dyDescent="0.2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</row>
    <row r="5" spans="1:6" x14ac:dyDescent="0.25">
      <c r="A5" s="5" t="s">
        <v>9</v>
      </c>
      <c r="B5" s="6">
        <f>COUNTIFS('Employee Roster'!$A$2:$A$66,1,'Employee Roster'!$D$2:$D$66,"Y")</f>
      </c>
      <c r="C5" s="7">
        <f>SUMIFS('Employee Roster'!$E$2:$E$66,'Employee Roster'!$A$2:$A$66,1,'Employee Roster'!$D$2:$D$66,"Y")</f>
      </c>
      <c r="D5" s="8">
        <f>SUMIFS('Employee Roster'!$F$2:$F$66,'Employee Roster'!$A$2:$A$66,1,'Employee Roster'!$D$2:$D$66,"Y")</f>
      </c>
      <c r="E5" s="7">
        <f>C5*$B$2</f>
      </c>
      <c r="F5" s="8">
        <f>D5*$B$2</f>
      </c>
    </row>
    <row r="6" spans="1:6" x14ac:dyDescent="0.25">
      <c r="A6" t="s">
        <v>10</v>
      </c>
      <c r="B6" s="9">
        <f>COUNTIFS('Employee Roster'!$A$2:$A$66,2,'Employee Roster'!$D$2:$D$66,"Y")</f>
      </c>
      <c r="C6" s="10">
        <f>SUMIFS('Employee Roster'!$E$2:$E$66,'Employee Roster'!$A$2:$A$66,2,'Employee Roster'!$D$2:$D$66,"Y")</f>
      </c>
      <c r="D6" s="11">
        <f>SUMIFS('Employee Roster'!$F$2:$F$66,'Employee Roster'!$A$2:$A$66,2,'Employee Roster'!$D$2:$D$66,"Y")</f>
      </c>
      <c r="E6" s="10">
        <f>C6*$B$2</f>
      </c>
      <c r="F6" s="11">
        <f>D6*$B$2</f>
      </c>
    </row>
    <row r="7" spans="1:6" x14ac:dyDescent="0.25">
      <c r="A7" s="5" t="s">
        <v>11</v>
      </c>
      <c r="B7" s="6">
        <f>COUNTIFS('Employee Roster'!$A$2:$A$66,3,'Employee Roster'!$D$2:$D$66,"Y")</f>
      </c>
      <c r="C7" s="7">
        <f>SUMIFS('Employee Roster'!$E$2:$E$66,'Employee Roster'!$A$2:$A$66,3,'Employee Roster'!$D$2:$D$66,"Y")</f>
      </c>
      <c r="D7" s="8">
        <f>SUMIFS('Employee Roster'!$F$2:$F$66,'Employee Roster'!$A$2:$A$66,3,'Employee Roster'!$D$2:$D$66,"Y")</f>
      </c>
      <c r="E7" s="7">
        <f>C7*$B$2</f>
      </c>
      <c r="F7" s="8">
        <f>D7*$B$2</f>
      </c>
    </row>
    <row r="8" spans="1:6" x14ac:dyDescent="0.25">
      <c r="A8" t="s">
        <v>12</v>
      </c>
      <c r="B8" s="9">
        <f>COUNTIFS('Employee Roster'!$A$2:$A$66,4,'Employee Roster'!$D$2:$D$66,"Y")</f>
      </c>
      <c r="C8" s="10">
        <f>SUMIFS('Employee Roster'!$E$2:$E$66,'Employee Roster'!$A$2:$A$66,4,'Employee Roster'!$D$2:$D$66,"Y")</f>
      </c>
      <c r="D8" s="11">
        <f>SUMIFS('Employee Roster'!$F$2:$F$66,'Employee Roster'!$A$2:$A$66,4,'Employee Roster'!$D$2:$D$66,"Y")</f>
      </c>
      <c r="E8" s="10">
        <f>C8*$B$2</f>
      </c>
      <c r="F8" s="11">
        <f>D8*$B$2</f>
      </c>
    </row>
    <row r="9" spans="1:6" x14ac:dyDescent="0.25">
      <c r="A9" s="5" t="s">
        <v>13</v>
      </c>
      <c r="B9" s="6">
        <f>COUNTIFS('Employee Roster'!$A$2:$A$66,5,'Employee Roster'!$D$2:$D$66,"Y")</f>
      </c>
      <c r="C9" s="7">
        <f>SUMIFS('Employee Roster'!$E$2:$E$66,'Employee Roster'!$A$2:$A$66,5,'Employee Roster'!$D$2:$D$66,"Y")</f>
      </c>
      <c r="D9" s="8">
        <f>SUMIFS('Employee Roster'!$F$2:$F$66,'Employee Roster'!$A$2:$A$66,5,'Employee Roster'!$D$2:$D$66,"Y")</f>
      </c>
      <c r="E9" s="7">
        <f>C9*$B$2</f>
      </c>
      <c r="F9" s="8">
        <f>D9*$B$2</f>
      </c>
    </row>
    <row r="10" spans="1:6" s="1" customFormat="1" x14ac:dyDescent="0.25">
      <c r="A10" s="12" t="s">
        <v>14</v>
      </c>
      <c r="B10" s="13">
        <f>SUM(B5:B9)</f>
      </c>
      <c r="C10" s="14">
        <f>SUM(C5:C9)</f>
      </c>
      <c r="D10" s="15">
        <f>SUM(D5:D9)</f>
      </c>
      <c r="E10" s="14">
        <f>SUM(E5:E9)</f>
      </c>
      <c r="F10" s="15">
        <f>SUM(F5:F9)</f>
      </c>
    </row>
    <row r="13" spans="1:6" x14ac:dyDescent="0.25">
      <c r="A13" s="16" t="s">
        <v>15</v>
      </c>
      <c r="B13" s="16"/>
      <c r="C13" s="16"/>
      <c r="D13" s="16"/>
      <c r="E13" s="16"/>
      <c r="F13" s="16"/>
    </row>
    <row r="14" ht="28" customHeight="1" spans="1:6" x14ac:dyDescent="0.25">
      <c r="A14" s="4" t="s">
        <v>3</v>
      </c>
      <c r="B14" s="4" t="s">
        <v>16</v>
      </c>
      <c r="C14" s="4" t="s">
        <v>17</v>
      </c>
      <c r="D14" s="4" t="s">
        <v>18</v>
      </c>
      <c r="E14" s="4" t="s">
        <v>19</v>
      </c>
      <c r="F14" s="4" t="s">
        <v>20</v>
      </c>
    </row>
    <row r="15" spans="1:6" x14ac:dyDescent="0.25">
      <c r="A15" s="5" t="s">
        <v>9</v>
      </c>
      <c r="B15" s="8">
        <v>28059.4</v>
      </c>
      <c r="C15" s="8">
        <v>60795.36666666667</v>
      </c>
      <c r="D15" s="17">
        <f>D5-B15</f>
      </c>
      <c r="E15" s="17">
        <f>F5-C15</f>
      </c>
      <c r="F15" s="18">
        <f>IF(B15=0,0,(B15-D5)/B15)</f>
      </c>
    </row>
    <row r="16" spans="1:6" x14ac:dyDescent="0.25">
      <c r="A16" t="s">
        <v>10</v>
      </c>
      <c r="B16" s="11">
        <v>29403.83</v>
      </c>
      <c r="C16" s="11">
        <v>63708.29833333333</v>
      </c>
      <c r="D16" s="19">
        <f>D6-B16</f>
      </c>
      <c r="E16" s="19">
        <f>F6-C16</f>
      </c>
      <c r="F16" s="20">
        <f>IF(B16=0,0,(B16-D6)/B16)</f>
      </c>
    </row>
    <row r="17" spans="1:6" x14ac:dyDescent="0.25">
      <c r="A17" s="5" t="s">
        <v>11</v>
      </c>
      <c r="B17" s="8">
        <v>9048.179999999998</v>
      </c>
      <c r="C17" s="8">
        <v>19604.389999999996</v>
      </c>
      <c r="D17" s="17">
        <f>D7-B17</f>
      </c>
      <c r="E17" s="17">
        <f>F7-C17</f>
      </c>
      <c r="F17" s="18">
        <f>IF(B17=0,0,(B17-D7)/B17)</f>
      </c>
    </row>
    <row r="18" spans="1:6" x14ac:dyDescent="0.25">
      <c r="A18" t="s">
        <v>12</v>
      </c>
      <c r="B18" s="11">
        <v>5010.12</v>
      </c>
      <c r="C18" s="11">
        <v>10855.259999999998</v>
      </c>
      <c r="D18" s="19">
        <f>D8-B18</f>
      </c>
      <c r="E18" s="19">
        <f>F8-C18</f>
      </c>
      <c r="F18" s="20">
        <f>IF(B18=0,0,(B18-D8)/B18)</f>
      </c>
    </row>
    <row r="19" spans="1:6" x14ac:dyDescent="0.25">
      <c r="A19" s="5" t="s">
        <v>13</v>
      </c>
      <c r="B19" s="8">
        <v>43420.06</v>
      </c>
      <c r="C19" s="8">
        <v>94076.79666666666</v>
      </c>
      <c r="D19" s="17">
        <f>D9-B19</f>
      </c>
      <c r="E19" s="17">
        <f>F9-C19</f>
      </c>
      <c r="F19" s="18">
        <f>IF(B19=0,0,(B19-D9)/B19)</f>
      </c>
    </row>
    <row r="20" spans="1:6" s="1" customFormat="1" x14ac:dyDescent="0.25">
      <c r="A20" s="12" t="s">
        <v>14</v>
      </c>
      <c r="B20" s="15">
        <v>114941.59</v>
      </c>
      <c r="C20" s="15">
        <v>249040.11166666663</v>
      </c>
      <c r="D20" s="21">
        <f>D10-B20</f>
      </c>
      <c r="E20" s="21">
        <f>F10-C20</f>
      </c>
      <c r="F20" s="22">
        <f>IF(B20=0,0,(B20-D10)/B20)</f>
      </c>
    </row>
    <row r="23" spans="1:1" x14ac:dyDescent="0.25">
      <c r="A23" s="1" t="s">
        <v>21</v>
      </c>
    </row>
    <row r="24" ht="28" customHeight="1" spans="1:6" x14ac:dyDescent="0.25">
      <c r="A24" s="23" t="s">
        <v>22</v>
      </c>
      <c r="B24" s="23"/>
      <c r="C24" s="23"/>
      <c r="D24" s="23"/>
      <c r="E24" s="23"/>
      <c r="F24" s="23"/>
    </row>
    <row r="25" ht="28" customHeight="1" spans="1:6" x14ac:dyDescent="0.25">
      <c r="A25" s="23" t="s">
        <v>23</v>
      </c>
      <c r="B25" s="23"/>
      <c r="C25" s="23"/>
      <c r="D25" s="23"/>
      <c r="E25" s="23"/>
      <c r="F25" s="23"/>
    </row>
    <row r="26" ht="28" customHeight="1" spans="1:6" x14ac:dyDescent="0.25">
      <c r="A26" s="23" t="s">
        <v>24</v>
      </c>
      <c r="B26" s="23"/>
      <c r="C26" s="23"/>
      <c r="D26" s="23"/>
      <c r="E26" s="23"/>
      <c r="F26" s="23"/>
    </row>
    <row r="27" ht="28" customHeight="1" spans="1:6" x14ac:dyDescent="0.25">
      <c r="A27" s="23" t="s">
        <v>25</v>
      </c>
      <c r="B27" s="23"/>
      <c r="C27" s="23"/>
      <c r="D27" s="23"/>
      <c r="E27" s="23"/>
      <c r="F27" s="23"/>
    </row>
    <row r="28" ht="28" customHeight="1" spans="1:6" x14ac:dyDescent="0.25">
      <c r="A28" s="23" t="s">
        <v>26</v>
      </c>
      <c r="B28" s="23"/>
      <c r="C28" s="23"/>
      <c r="D28" s="23"/>
      <c r="E28" s="23"/>
      <c r="F28" s="23"/>
    </row>
    <row r="29" ht="28" customHeight="1" spans="1:6" x14ac:dyDescent="0.25">
      <c r="A29" s="23" t="s">
        <v>27</v>
      </c>
      <c r="B29" s="23"/>
      <c r="C29" s="23"/>
      <c r="D29" s="23"/>
      <c r="E29" s="23"/>
      <c r="F29" s="23"/>
    </row>
    <row r="30" ht="28" customHeight="1" spans="1:6" x14ac:dyDescent="0.25">
      <c r="A30" s="23" t="s">
        <v>28</v>
      </c>
      <c r="B30" s="23"/>
      <c r="C30" s="23"/>
      <c r="D30" s="23"/>
      <c r="E30" s="23"/>
      <c r="F30" s="23"/>
    </row>
  </sheetData>
  <mergeCells count="8">
    <mergeCell ref="A13:F13"/>
    <mergeCell ref="A24:F24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2" customWidth="1"/>
    <col min="3" max="3" width="30" customWidth="1"/>
    <col min="4" max="4" width="10" customWidth="1"/>
    <col min="5" max="8" width="16" customWidth="1"/>
  </cols>
  <sheetData>
    <row r="1" ht="28" customHeight="1" spans="1:8" x14ac:dyDescent="0.25">
      <c r="A1" s="4" t="s">
        <v>29</v>
      </c>
      <c r="B1" s="4" t="s">
        <v>3</v>
      </c>
      <c r="C1" s="4" t="s">
        <v>30</v>
      </c>
      <c r="D1" s="4" t="s">
        <v>31</v>
      </c>
      <c r="E1" s="4" t="s">
        <v>5</v>
      </c>
      <c r="F1" s="4" t="s">
        <v>6</v>
      </c>
      <c r="G1" s="4" t="s">
        <v>7</v>
      </c>
      <c r="H1" s="4" t="s">
        <v>8</v>
      </c>
    </row>
    <row r="2" spans="1:8" x14ac:dyDescent="0.25">
      <c r="A2">
        <v>1</v>
      </c>
      <c r="B2" t="s">
        <v>32</v>
      </c>
      <c r="C2" t="s">
        <v>33</v>
      </c>
      <c r="D2" s="24" t="s">
        <v>34</v>
      </c>
      <c r="E2" s="25">
        <v>68.31</v>
      </c>
      <c r="F2" s="26">
        <v>1229.58</v>
      </c>
      <c r="G2" s="10">
        <f>IF(D2="Y",E2*'Department Summary'!$B$2,0)</f>
      </c>
      <c r="H2" s="11">
        <f>IF(D2="Y",F2*'Department Summary'!$B$2,0)</f>
      </c>
    </row>
    <row r="3" spans="1:8" x14ac:dyDescent="0.25">
      <c r="A3" s="5">
        <v>1</v>
      </c>
      <c r="B3" s="5" t="s">
        <v>32</v>
      </c>
      <c r="C3" s="5" t="s">
        <v>35</v>
      </c>
      <c r="D3" s="24" t="s">
        <v>34</v>
      </c>
      <c r="E3" s="25">
        <v>41.7</v>
      </c>
      <c r="F3" s="26">
        <v>952.89</v>
      </c>
      <c r="G3" s="7">
        <f>IF(D3="Y",E3*'Department Summary'!$B$2,0)</f>
      </c>
      <c r="H3" s="8">
        <f>IF(D3="Y",F3*'Department Summary'!$B$2,0)</f>
      </c>
    </row>
    <row r="4" spans="1:8" x14ac:dyDescent="0.25">
      <c r="A4">
        <v>1</v>
      </c>
      <c r="B4" t="s">
        <v>32</v>
      </c>
      <c r="C4" t="s">
        <v>36</v>
      </c>
      <c r="D4" s="24" t="s">
        <v>34</v>
      </c>
      <c r="E4" s="25">
        <v>83.56</v>
      </c>
      <c r="F4" s="26">
        <v>1450.78</v>
      </c>
      <c r="G4" s="10">
        <f>IF(D4="Y",E4*'Department Summary'!$B$2,0)</f>
      </c>
      <c r="H4" s="11">
        <f>IF(D4="Y",F4*'Department Summary'!$B$2,0)</f>
      </c>
    </row>
    <row r="5" spans="1:8" x14ac:dyDescent="0.25">
      <c r="A5" s="5">
        <v>1</v>
      </c>
      <c r="B5" s="5" t="s">
        <v>32</v>
      </c>
      <c r="C5" s="5" t="s">
        <v>37</v>
      </c>
      <c r="D5" s="24" t="s">
        <v>34</v>
      </c>
      <c r="E5" s="25">
        <v>70.07</v>
      </c>
      <c r="F5" s="26">
        <v>2025.85</v>
      </c>
      <c r="G5" s="7">
        <f>IF(D5="Y",E5*'Department Summary'!$B$2,0)</f>
      </c>
      <c r="H5" s="8">
        <f>IF(D5="Y",F5*'Department Summary'!$B$2,0)</f>
      </c>
    </row>
    <row r="6" spans="1:8" x14ac:dyDescent="0.25">
      <c r="A6">
        <v>1</v>
      </c>
      <c r="B6" t="s">
        <v>32</v>
      </c>
      <c r="C6" t="s">
        <v>38</v>
      </c>
      <c r="D6" s="24" t="s">
        <v>34</v>
      </c>
      <c r="E6" s="25">
        <v>86.03</v>
      </c>
      <c r="F6" s="26">
        <v>2671.35</v>
      </c>
      <c r="G6" s="10">
        <f>IF(D6="Y",E6*'Department Summary'!$B$2,0)</f>
      </c>
      <c r="H6" s="11">
        <f>IF(D6="Y",F6*'Department Summary'!$B$2,0)</f>
      </c>
    </row>
    <row r="7" spans="1:8" x14ac:dyDescent="0.25">
      <c r="A7" s="5">
        <v>1</v>
      </c>
      <c r="B7" s="5" t="s">
        <v>32</v>
      </c>
      <c r="C7" s="5" t="s">
        <v>39</v>
      </c>
      <c r="D7" s="24" t="s">
        <v>34</v>
      </c>
      <c r="E7" s="25">
        <v>95.18</v>
      </c>
      <c r="F7" s="26">
        <v>1952.63</v>
      </c>
      <c r="G7" s="7">
        <f>IF(D7="Y",E7*'Department Summary'!$B$2,0)</f>
      </c>
      <c r="H7" s="8">
        <f>IF(D7="Y",F7*'Department Summary'!$B$2,0)</f>
      </c>
    </row>
    <row r="8" spans="1:8" x14ac:dyDescent="0.25">
      <c r="A8">
        <v>1</v>
      </c>
      <c r="B8" t="s">
        <v>32</v>
      </c>
      <c r="C8" t="s">
        <v>40</v>
      </c>
      <c r="D8" s="24" t="s">
        <v>34</v>
      </c>
      <c r="E8" s="25">
        <v>62.12</v>
      </c>
      <c r="F8" s="26">
        <v>1074.13</v>
      </c>
      <c r="G8" s="10">
        <f>IF(D8="Y",E8*'Department Summary'!$B$2,0)</f>
      </c>
      <c r="H8" s="11">
        <f>IF(D8="Y",F8*'Department Summary'!$B$2,0)</f>
      </c>
    </row>
    <row r="9" spans="1:8" x14ac:dyDescent="0.25">
      <c r="A9" s="5">
        <v>1</v>
      </c>
      <c r="B9" s="5" t="s">
        <v>32</v>
      </c>
      <c r="C9" s="5" t="s">
        <v>41</v>
      </c>
      <c r="D9" s="24" t="s">
        <v>34</v>
      </c>
      <c r="E9" s="25">
        <v>0</v>
      </c>
      <c r="F9" s="26">
        <v>1922.83</v>
      </c>
      <c r="G9" s="7">
        <f>IF(D9="Y",E9*'Department Summary'!$B$2,0)</f>
      </c>
      <c r="H9" s="8">
        <f>IF(D9="Y",F9*'Department Summary'!$B$2,0)</f>
      </c>
    </row>
    <row r="10" spans="1:8" x14ac:dyDescent="0.25">
      <c r="A10">
        <v>1</v>
      </c>
      <c r="B10" t="s">
        <v>32</v>
      </c>
      <c r="C10" t="s">
        <v>42</v>
      </c>
      <c r="D10" s="24" t="s">
        <v>34</v>
      </c>
      <c r="E10" s="25">
        <v>68</v>
      </c>
      <c r="F10" s="26">
        <v>2679.14</v>
      </c>
      <c r="G10" s="10">
        <f>IF(D10="Y",E10*'Department Summary'!$B$2,0)</f>
      </c>
      <c r="H10" s="11">
        <f>IF(D10="Y",F10*'Department Summary'!$B$2,0)</f>
      </c>
    </row>
    <row r="11" spans="1:8" x14ac:dyDescent="0.25">
      <c r="A11" s="5">
        <v>1</v>
      </c>
      <c r="B11" s="5" t="s">
        <v>32</v>
      </c>
      <c r="C11" s="5" t="s">
        <v>43</v>
      </c>
      <c r="D11" s="24" t="s">
        <v>34</v>
      </c>
      <c r="E11" s="25">
        <v>39.93</v>
      </c>
      <c r="F11" s="26">
        <v>818.85</v>
      </c>
      <c r="G11" s="7">
        <f>IF(D11="Y",E11*'Department Summary'!$B$2,0)</f>
      </c>
      <c r="H11" s="8">
        <f>IF(D11="Y",F11*'Department Summary'!$B$2,0)</f>
      </c>
    </row>
    <row r="12" spans="1:8" x14ac:dyDescent="0.25">
      <c r="A12">
        <v>1</v>
      </c>
      <c r="B12" t="s">
        <v>32</v>
      </c>
      <c r="C12" t="s">
        <v>44</v>
      </c>
      <c r="D12" s="24" t="s">
        <v>34</v>
      </c>
      <c r="E12" s="25">
        <v>15.91</v>
      </c>
      <c r="F12" s="26">
        <v>413.6</v>
      </c>
      <c r="G12" s="10">
        <f>IF(D12="Y",E12*'Department Summary'!$B$2,0)</f>
      </c>
      <c r="H12" s="11">
        <f>IF(D12="Y",F12*'Department Summary'!$B$2,0)</f>
      </c>
    </row>
    <row r="13" spans="1:8" x14ac:dyDescent="0.25">
      <c r="A13" s="5">
        <v>1</v>
      </c>
      <c r="B13" s="5" t="s">
        <v>32</v>
      </c>
      <c r="C13" s="5" t="s">
        <v>45</v>
      </c>
      <c r="D13" s="24" t="s">
        <v>34</v>
      </c>
      <c r="E13" s="25">
        <v>61.39</v>
      </c>
      <c r="F13" s="26">
        <v>1089.49</v>
      </c>
      <c r="G13" s="7">
        <f>IF(D13="Y",E13*'Department Summary'!$B$2,0)</f>
      </c>
      <c r="H13" s="8">
        <f>IF(D13="Y",F13*'Department Summary'!$B$2,0)</f>
      </c>
    </row>
    <row r="14" spans="1:8" x14ac:dyDescent="0.25">
      <c r="A14">
        <v>1</v>
      </c>
      <c r="B14" t="s">
        <v>32</v>
      </c>
      <c r="C14" t="s">
        <v>46</v>
      </c>
      <c r="D14" s="24" t="s">
        <v>34</v>
      </c>
      <c r="E14" s="25">
        <v>65.53</v>
      </c>
      <c r="F14" s="26">
        <v>1441.66</v>
      </c>
      <c r="G14" s="10">
        <f>IF(D14="Y",E14*'Department Summary'!$B$2,0)</f>
      </c>
      <c r="H14" s="11">
        <f>IF(D14="Y",F14*'Department Summary'!$B$2,0)</f>
      </c>
    </row>
    <row r="15" spans="1:8" x14ac:dyDescent="0.25">
      <c r="A15" s="5">
        <v>1</v>
      </c>
      <c r="B15" s="5" t="s">
        <v>32</v>
      </c>
      <c r="C15" s="5" t="s">
        <v>47</v>
      </c>
      <c r="D15" s="24" t="s">
        <v>34</v>
      </c>
      <c r="E15" s="25">
        <v>1.11</v>
      </c>
      <c r="F15" s="26">
        <v>647.45</v>
      </c>
      <c r="G15" s="7">
        <f>IF(D15="Y",E15*'Department Summary'!$B$2,0)</f>
      </c>
      <c r="H15" s="8">
        <f>IF(D15="Y",F15*'Department Summary'!$B$2,0)</f>
      </c>
    </row>
    <row r="16" spans="1:8" x14ac:dyDescent="0.25">
      <c r="A16">
        <v>1</v>
      </c>
      <c r="B16" t="s">
        <v>32</v>
      </c>
      <c r="C16" t="s">
        <v>48</v>
      </c>
      <c r="D16" s="24" t="s">
        <v>34</v>
      </c>
      <c r="E16" s="25">
        <v>107.61</v>
      </c>
      <c r="F16" s="26">
        <v>2792.55</v>
      </c>
      <c r="G16" s="10">
        <f>IF(D16="Y",E16*'Department Summary'!$B$2,0)</f>
      </c>
      <c r="H16" s="11">
        <f>IF(D16="Y",F16*'Department Summary'!$B$2,0)</f>
      </c>
    </row>
    <row r="17" spans="1:8" x14ac:dyDescent="0.25">
      <c r="A17" s="5">
        <v>1</v>
      </c>
      <c r="B17" s="5" t="s">
        <v>32</v>
      </c>
      <c r="C17" s="5" t="s">
        <v>49</v>
      </c>
      <c r="D17" s="24" t="s">
        <v>34</v>
      </c>
      <c r="E17" s="25">
        <v>87.3</v>
      </c>
      <c r="F17" s="26">
        <v>2864.16</v>
      </c>
      <c r="G17" s="7">
        <f>IF(D17="Y",E17*'Department Summary'!$B$2,0)</f>
      </c>
      <c r="H17" s="8">
        <f>IF(D17="Y",F17*'Department Summary'!$B$2,0)</f>
      </c>
    </row>
    <row r="18" spans="1:8" x14ac:dyDescent="0.25">
      <c r="A18">
        <v>1</v>
      </c>
      <c r="B18" t="s">
        <v>32</v>
      </c>
      <c r="C18" t="s">
        <v>50</v>
      </c>
      <c r="D18" s="24" t="s">
        <v>34</v>
      </c>
      <c r="E18" s="25">
        <v>1</v>
      </c>
      <c r="F18" s="26">
        <v>17</v>
      </c>
      <c r="G18" s="10">
        <f>IF(D18="Y",E18*'Department Summary'!$B$2,0)</f>
      </c>
      <c r="H18" s="11">
        <f>IF(D18="Y",F18*'Department Summary'!$B$2,0)</f>
      </c>
    </row>
    <row r="19" spans="1:8" x14ac:dyDescent="0.25">
      <c r="A19" s="5">
        <v>1</v>
      </c>
      <c r="B19" s="5" t="s">
        <v>32</v>
      </c>
      <c r="C19" s="5" t="s">
        <v>51</v>
      </c>
      <c r="D19" s="24" t="s">
        <v>34</v>
      </c>
      <c r="E19" s="25">
        <v>42.63</v>
      </c>
      <c r="F19" s="26">
        <v>747.19</v>
      </c>
      <c r="G19" s="7">
        <f>IF(D19="Y",E19*'Department Summary'!$B$2,0)</f>
      </c>
      <c r="H19" s="8">
        <f>IF(D19="Y",F19*'Department Summary'!$B$2,0)</f>
      </c>
    </row>
    <row r="20" spans="1:8" x14ac:dyDescent="0.25">
      <c r="A20">
        <v>1</v>
      </c>
      <c r="B20" t="s">
        <v>32</v>
      </c>
      <c r="C20" t="s">
        <v>52</v>
      </c>
      <c r="D20" s="24" t="s">
        <v>34</v>
      </c>
      <c r="E20" s="25">
        <v>40</v>
      </c>
      <c r="F20" s="26">
        <v>1268.27</v>
      </c>
      <c r="G20" s="10">
        <f>IF(D20="Y",E20*'Department Summary'!$B$2,0)</f>
      </c>
      <c r="H20" s="11">
        <f>IF(D20="Y",F20*'Department Summary'!$B$2,0)</f>
      </c>
    </row>
    <row r="21" spans="1:8" x14ac:dyDescent="0.25">
      <c r="A21" s="5">
        <v>2</v>
      </c>
      <c r="B21" s="5" t="s">
        <v>53</v>
      </c>
      <c r="C21" s="5" t="s">
        <v>35</v>
      </c>
      <c r="D21" s="24" t="s">
        <v>34</v>
      </c>
      <c r="E21" s="25">
        <v>41.69</v>
      </c>
      <c r="F21" s="26">
        <v>952.87</v>
      </c>
      <c r="G21" s="7">
        <f>IF(D21="Y",E21*'Department Summary'!$B$2,0)</f>
      </c>
      <c r="H21" s="8">
        <f>IF(D21="Y",F21*'Department Summary'!$B$2,0)</f>
      </c>
    </row>
    <row r="22" spans="1:8" x14ac:dyDescent="0.25">
      <c r="A22">
        <v>2</v>
      </c>
      <c r="B22" t="s">
        <v>53</v>
      </c>
      <c r="C22" t="s">
        <v>54</v>
      </c>
      <c r="D22" s="24" t="s">
        <v>34</v>
      </c>
      <c r="E22" s="25">
        <v>81.52</v>
      </c>
      <c r="F22" s="26">
        <v>1259.33</v>
      </c>
      <c r="G22" s="10">
        <f>IF(D22="Y",E22*'Department Summary'!$B$2,0)</f>
      </c>
      <c r="H22" s="11">
        <f>IF(D22="Y",F22*'Department Summary'!$B$2,0)</f>
      </c>
    </row>
    <row r="23" spans="1:8" x14ac:dyDescent="0.25">
      <c r="A23" s="5">
        <v>2</v>
      </c>
      <c r="B23" s="5" t="s">
        <v>53</v>
      </c>
      <c r="C23" s="5" t="s">
        <v>37</v>
      </c>
      <c r="D23" s="24" t="s">
        <v>34</v>
      </c>
      <c r="E23" s="25">
        <v>12.37</v>
      </c>
      <c r="F23" s="26">
        <v>357.51</v>
      </c>
      <c r="G23" s="7">
        <f>IF(D23="Y",E23*'Department Summary'!$B$2,0)</f>
      </c>
      <c r="H23" s="8">
        <f>IF(D23="Y",F23*'Department Summary'!$B$2,0)</f>
      </c>
    </row>
    <row r="24" spans="1:8" x14ac:dyDescent="0.25">
      <c r="A24">
        <v>2</v>
      </c>
      <c r="B24" t="s">
        <v>53</v>
      </c>
      <c r="C24" t="s">
        <v>55</v>
      </c>
      <c r="D24" s="24" t="s">
        <v>34</v>
      </c>
      <c r="E24" s="25">
        <v>75.75</v>
      </c>
      <c r="F24" s="26">
        <v>1136.25</v>
      </c>
      <c r="G24" s="10">
        <f>IF(D24="Y",E24*'Department Summary'!$B$2,0)</f>
      </c>
      <c r="H24" s="11">
        <f>IF(D24="Y",F24*'Department Summary'!$B$2,0)</f>
      </c>
    </row>
    <row r="25" spans="1:8" x14ac:dyDescent="0.25">
      <c r="A25" s="5">
        <v>2</v>
      </c>
      <c r="B25" s="5" t="s">
        <v>53</v>
      </c>
      <c r="C25" s="5" t="s">
        <v>56</v>
      </c>
      <c r="D25" s="24" t="s">
        <v>34</v>
      </c>
      <c r="E25" s="25">
        <v>82.57</v>
      </c>
      <c r="F25" s="26">
        <v>1928.67</v>
      </c>
      <c r="G25" s="7">
        <f>IF(D25="Y",E25*'Department Summary'!$B$2,0)</f>
      </c>
      <c r="H25" s="8">
        <f>IF(D25="Y",F25*'Department Summary'!$B$2,0)</f>
      </c>
    </row>
    <row r="26" spans="1:8" x14ac:dyDescent="0.25">
      <c r="A26">
        <v>2</v>
      </c>
      <c r="B26" t="s">
        <v>53</v>
      </c>
      <c r="C26" t="s">
        <v>40</v>
      </c>
      <c r="D26" s="24" t="s">
        <v>34</v>
      </c>
      <c r="E26" s="25">
        <v>20.71</v>
      </c>
      <c r="F26" s="26">
        <v>358.04</v>
      </c>
      <c r="G26" s="10">
        <f>IF(D26="Y",E26*'Department Summary'!$B$2,0)</f>
      </c>
      <c r="H26" s="11">
        <f>IF(D26="Y",F26*'Department Summary'!$B$2,0)</f>
      </c>
    </row>
    <row r="27" spans="1:8" x14ac:dyDescent="0.25">
      <c r="A27" s="5">
        <v>2</v>
      </c>
      <c r="B27" s="5" t="s">
        <v>53</v>
      </c>
      <c r="C27" s="5" t="s">
        <v>57</v>
      </c>
      <c r="D27" s="24" t="s">
        <v>34</v>
      </c>
      <c r="E27" s="25">
        <v>80</v>
      </c>
      <c r="F27" s="26">
        <v>3151.93</v>
      </c>
      <c r="G27" s="7">
        <f>IF(D27="Y",E27*'Department Summary'!$B$2,0)</f>
      </c>
      <c r="H27" s="8">
        <f>IF(D27="Y",F27*'Department Summary'!$B$2,0)</f>
      </c>
    </row>
    <row r="28" spans="1:8" x14ac:dyDescent="0.25">
      <c r="A28">
        <v>2</v>
      </c>
      <c r="B28" t="s">
        <v>53</v>
      </c>
      <c r="C28" t="s">
        <v>43</v>
      </c>
      <c r="D28" s="24" t="s">
        <v>34</v>
      </c>
      <c r="E28" s="25">
        <v>39.91</v>
      </c>
      <c r="F28" s="26">
        <v>818.85</v>
      </c>
      <c r="G28" s="10">
        <f>IF(D28="Y",E28*'Department Summary'!$B$2,0)</f>
      </c>
      <c r="H28" s="11">
        <f>IF(D28="Y",F28*'Department Summary'!$B$2,0)</f>
      </c>
    </row>
    <row r="29" spans="1:8" x14ac:dyDescent="0.25">
      <c r="A29" s="5">
        <v>2</v>
      </c>
      <c r="B29" s="5" t="s">
        <v>53</v>
      </c>
      <c r="C29" s="5" t="s">
        <v>44</v>
      </c>
      <c r="D29" s="24" t="s">
        <v>34</v>
      </c>
      <c r="E29" s="25">
        <v>47.72</v>
      </c>
      <c r="F29" s="26">
        <v>1240.78</v>
      </c>
      <c r="G29" s="7">
        <f>IF(D29="Y",E29*'Department Summary'!$B$2,0)</f>
      </c>
      <c r="H29" s="8">
        <f>IF(D29="Y",F29*'Department Summary'!$B$2,0)</f>
      </c>
    </row>
    <row r="30" spans="1:8" x14ac:dyDescent="0.25">
      <c r="A30">
        <v>2</v>
      </c>
      <c r="B30" t="s">
        <v>53</v>
      </c>
      <c r="C30" t="s">
        <v>45</v>
      </c>
      <c r="D30" s="24" t="s">
        <v>34</v>
      </c>
      <c r="E30" s="25">
        <v>20.45</v>
      </c>
      <c r="F30" s="26">
        <v>363.16</v>
      </c>
      <c r="G30" s="10">
        <f>IF(D30="Y",E30*'Department Summary'!$B$2,0)</f>
      </c>
      <c r="H30" s="11">
        <f>IF(D30="Y",F30*'Department Summary'!$B$2,0)</f>
      </c>
    </row>
    <row r="31" spans="1:8" x14ac:dyDescent="0.25">
      <c r="A31" s="5">
        <v>2</v>
      </c>
      <c r="B31" s="5" t="s">
        <v>53</v>
      </c>
      <c r="C31" s="5" t="s">
        <v>58</v>
      </c>
      <c r="D31" s="24" t="s">
        <v>34</v>
      </c>
      <c r="E31" s="25">
        <v>65.51</v>
      </c>
      <c r="F31" s="26">
        <v>1310.2</v>
      </c>
      <c r="G31" s="7">
        <f>IF(D31="Y",E31*'Department Summary'!$B$2,0)</f>
      </c>
      <c r="H31" s="8">
        <f>IF(D31="Y",F31*'Department Summary'!$B$2,0)</f>
      </c>
    </row>
    <row r="32" spans="1:8" x14ac:dyDescent="0.25">
      <c r="A32">
        <v>2</v>
      </c>
      <c r="B32" t="s">
        <v>53</v>
      </c>
      <c r="C32" t="s">
        <v>47</v>
      </c>
      <c r="D32" s="24" t="s">
        <v>34</v>
      </c>
      <c r="E32" s="25">
        <v>37.53</v>
      </c>
      <c r="F32" s="26">
        <v>647.44</v>
      </c>
      <c r="G32" s="10">
        <f>IF(D32="Y",E32*'Department Summary'!$B$2,0)</f>
      </c>
      <c r="H32" s="11">
        <f>IF(D32="Y",F32*'Department Summary'!$B$2,0)</f>
      </c>
    </row>
    <row r="33" spans="1:8" x14ac:dyDescent="0.25">
      <c r="A33" s="5">
        <v>2</v>
      </c>
      <c r="B33" s="5" t="s">
        <v>53</v>
      </c>
      <c r="C33" s="5" t="s">
        <v>59</v>
      </c>
      <c r="D33" s="24" t="s">
        <v>34</v>
      </c>
      <c r="E33" s="25">
        <v>98.91</v>
      </c>
      <c r="F33" s="26">
        <v>2167.3</v>
      </c>
      <c r="G33" s="7">
        <f>IF(D33="Y",E33*'Department Summary'!$B$2,0)</f>
      </c>
      <c r="H33" s="8">
        <f>IF(D33="Y",F33*'Department Summary'!$B$2,0)</f>
      </c>
    </row>
    <row r="34" spans="1:8" x14ac:dyDescent="0.25">
      <c r="A34">
        <v>2</v>
      </c>
      <c r="B34" t="s">
        <v>53</v>
      </c>
      <c r="C34" t="s">
        <v>60</v>
      </c>
      <c r="D34" s="24" t="s">
        <v>34</v>
      </c>
      <c r="E34" s="25">
        <v>76.29</v>
      </c>
      <c r="F34" s="26">
        <v>2314.2</v>
      </c>
      <c r="G34" s="10">
        <f>IF(D34="Y",E34*'Department Summary'!$B$2,0)</f>
      </c>
      <c r="H34" s="11">
        <f>IF(D34="Y",F34*'Department Summary'!$B$2,0)</f>
      </c>
    </row>
    <row r="35" spans="1:8" x14ac:dyDescent="0.25">
      <c r="A35" s="5">
        <v>2</v>
      </c>
      <c r="B35" s="5" t="s">
        <v>53</v>
      </c>
      <c r="C35" s="5" t="s">
        <v>61</v>
      </c>
      <c r="D35" s="24" t="s">
        <v>34</v>
      </c>
      <c r="E35" s="25">
        <v>71.05</v>
      </c>
      <c r="F35" s="26">
        <v>1136.8</v>
      </c>
      <c r="G35" s="7">
        <f>IF(D35="Y",E35*'Department Summary'!$B$2,0)</f>
      </c>
      <c r="H35" s="8">
        <f>IF(D35="Y",F35*'Department Summary'!$B$2,0)</f>
      </c>
    </row>
    <row r="36" spans="1:8" x14ac:dyDescent="0.25">
      <c r="A36">
        <v>2</v>
      </c>
      <c r="B36" t="s">
        <v>53</v>
      </c>
      <c r="C36" t="s">
        <v>62</v>
      </c>
      <c r="D36" s="24" t="s">
        <v>34</v>
      </c>
      <c r="E36" s="25">
        <v>80.65</v>
      </c>
      <c r="F36" s="26">
        <v>2024.38</v>
      </c>
      <c r="G36" s="10">
        <f>IF(D36="Y",E36*'Department Summary'!$B$2,0)</f>
      </c>
      <c r="H36" s="11">
        <f>IF(D36="Y",F36*'Department Summary'!$B$2,0)</f>
      </c>
    </row>
    <row r="37" spans="1:8" x14ac:dyDescent="0.25">
      <c r="A37" s="5">
        <v>2</v>
      </c>
      <c r="B37" s="5" t="s">
        <v>53</v>
      </c>
      <c r="C37" s="5" t="s">
        <v>63</v>
      </c>
      <c r="D37" s="24" t="s">
        <v>34</v>
      </c>
      <c r="E37" s="25">
        <v>82.02</v>
      </c>
      <c r="F37" s="26">
        <v>2407.87</v>
      </c>
      <c r="G37" s="7">
        <f>IF(D37="Y",E37*'Department Summary'!$B$2,0)</f>
      </c>
      <c r="H37" s="8">
        <f>IF(D37="Y",F37*'Department Summary'!$B$2,0)</f>
      </c>
    </row>
    <row r="38" spans="1:8" x14ac:dyDescent="0.25">
      <c r="A38">
        <v>2</v>
      </c>
      <c r="B38" t="s">
        <v>53</v>
      </c>
      <c r="C38" t="s">
        <v>64</v>
      </c>
      <c r="D38" s="24" t="s">
        <v>34</v>
      </c>
      <c r="E38" s="25">
        <v>82.29</v>
      </c>
      <c r="F38" s="26">
        <v>1334.96</v>
      </c>
      <c r="G38" s="10">
        <f>IF(D38="Y",E38*'Department Summary'!$B$2,0)</f>
      </c>
      <c r="H38" s="11">
        <f>IF(D38="Y",F38*'Department Summary'!$B$2,0)</f>
      </c>
    </row>
    <row r="39" spans="1:8" x14ac:dyDescent="0.25">
      <c r="A39" s="5">
        <v>2</v>
      </c>
      <c r="B39" s="5" t="s">
        <v>53</v>
      </c>
      <c r="C39" s="5" t="s">
        <v>65</v>
      </c>
      <c r="D39" s="24" t="s">
        <v>34</v>
      </c>
      <c r="E39" s="25">
        <v>85.95</v>
      </c>
      <c r="F39" s="26">
        <v>1333.88</v>
      </c>
      <c r="G39" s="7">
        <f>IF(D39="Y",E39*'Department Summary'!$B$2,0)</f>
      </c>
      <c r="H39" s="8">
        <f>IF(D39="Y",F39*'Department Summary'!$B$2,0)</f>
      </c>
    </row>
    <row r="40" spans="1:8" x14ac:dyDescent="0.25">
      <c r="A40">
        <v>2</v>
      </c>
      <c r="B40" t="s">
        <v>53</v>
      </c>
      <c r="C40" t="s">
        <v>66</v>
      </c>
      <c r="D40" s="24" t="s">
        <v>34</v>
      </c>
      <c r="E40" s="25">
        <v>81.14</v>
      </c>
      <c r="F40" s="26">
        <v>1143.94</v>
      </c>
      <c r="G40" s="10">
        <f>IF(D40="Y",E40*'Department Summary'!$B$2,0)</f>
      </c>
      <c r="H40" s="11">
        <f>IF(D40="Y",F40*'Department Summary'!$B$2,0)</f>
      </c>
    </row>
    <row r="41" spans="1:8" x14ac:dyDescent="0.25">
      <c r="A41" s="5">
        <v>2</v>
      </c>
      <c r="B41" s="5" t="s">
        <v>53</v>
      </c>
      <c r="C41" s="5" t="s">
        <v>51</v>
      </c>
      <c r="D41" s="24" t="s">
        <v>34</v>
      </c>
      <c r="E41" s="25">
        <v>42.64</v>
      </c>
      <c r="F41" s="26">
        <v>747.2</v>
      </c>
      <c r="G41" s="7">
        <f>IF(D41="Y",E41*'Department Summary'!$B$2,0)</f>
      </c>
      <c r="H41" s="8">
        <f>IF(D41="Y",F41*'Department Summary'!$B$2,0)</f>
      </c>
    </row>
    <row r="42" spans="1:8" x14ac:dyDescent="0.25">
      <c r="A42">
        <v>2</v>
      </c>
      <c r="B42" t="s">
        <v>53</v>
      </c>
      <c r="C42" t="s">
        <v>52</v>
      </c>
      <c r="D42" s="24" t="s">
        <v>34</v>
      </c>
      <c r="E42" s="25">
        <v>40</v>
      </c>
      <c r="F42" s="26">
        <v>1268.27</v>
      </c>
      <c r="G42" s="10">
        <f>IF(D42="Y",E42*'Department Summary'!$B$2,0)</f>
      </c>
      <c r="H42" s="11">
        <f>IF(D42="Y",F42*'Department Summary'!$B$2,0)</f>
      </c>
    </row>
    <row r="43" spans="1:8" x14ac:dyDescent="0.25">
      <c r="A43" s="5">
        <v>3</v>
      </c>
      <c r="B43" s="5" t="s">
        <v>67</v>
      </c>
      <c r="C43" s="5" t="s">
        <v>68</v>
      </c>
      <c r="D43" s="24" t="s">
        <v>34</v>
      </c>
      <c r="E43" s="25">
        <v>79.22</v>
      </c>
      <c r="F43" s="26">
        <v>1307.13</v>
      </c>
      <c r="G43" s="7">
        <f>IF(D43="Y",E43*'Department Summary'!$B$2,0)</f>
      </c>
      <c r="H43" s="8">
        <f>IF(D43="Y",F43*'Department Summary'!$B$2,0)</f>
      </c>
    </row>
    <row r="44" spans="1:8" x14ac:dyDescent="0.25">
      <c r="A44">
        <v>3</v>
      </c>
      <c r="B44" t="s">
        <v>67</v>
      </c>
      <c r="C44" t="s">
        <v>69</v>
      </c>
      <c r="D44" s="24" t="s">
        <v>34</v>
      </c>
      <c r="E44" s="25">
        <v>80</v>
      </c>
      <c r="F44" s="26">
        <v>2382.7</v>
      </c>
      <c r="G44" s="10">
        <f>IF(D44="Y",E44*'Department Summary'!$B$2,0)</f>
      </c>
      <c r="H44" s="11">
        <f>IF(D44="Y",F44*'Department Summary'!$B$2,0)</f>
      </c>
    </row>
    <row r="45" spans="1:8" x14ac:dyDescent="0.25">
      <c r="A45" s="5">
        <v>3</v>
      </c>
      <c r="B45" s="5" t="s">
        <v>67</v>
      </c>
      <c r="C45" s="5" t="s">
        <v>70</v>
      </c>
      <c r="D45" s="24" t="s">
        <v>34</v>
      </c>
      <c r="E45" s="25">
        <v>76.1</v>
      </c>
      <c r="F45" s="26">
        <v>1293.7</v>
      </c>
      <c r="G45" s="7">
        <f>IF(D45="Y",E45*'Department Summary'!$B$2,0)</f>
      </c>
      <c r="H45" s="8">
        <f>IF(D45="Y",F45*'Department Summary'!$B$2,0)</f>
      </c>
    </row>
    <row r="46" spans="1:8" x14ac:dyDescent="0.25">
      <c r="A46">
        <v>3</v>
      </c>
      <c r="B46" t="s">
        <v>67</v>
      </c>
      <c r="C46" t="s">
        <v>42</v>
      </c>
      <c r="D46" s="24" t="s">
        <v>34</v>
      </c>
      <c r="E46" s="25">
        <v>12</v>
      </c>
      <c r="F46" s="26">
        <v>472.79</v>
      </c>
      <c r="G46" s="10">
        <f>IF(D46="Y",E46*'Department Summary'!$B$2,0)</f>
      </c>
      <c r="H46" s="11">
        <f>IF(D46="Y",F46*'Department Summary'!$B$2,0)</f>
      </c>
    </row>
    <row r="47" spans="1:8" x14ac:dyDescent="0.25">
      <c r="A47" s="5">
        <v>3</v>
      </c>
      <c r="B47" s="5" t="s">
        <v>67</v>
      </c>
      <c r="C47" s="5" t="s">
        <v>71</v>
      </c>
      <c r="D47" s="24" t="s">
        <v>34</v>
      </c>
      <c r="E47" s="25">
        <v>69.93</v>
      </c>
      <c r="F47" s="26">
        <v>1118.88</v>
      </c>
      <c r="G47" s="7">
        <f>IF(D47="Y",E47*'Department Summary'!$B$2,0)</f>
      </c>
      <c r="H47" s="8">
        <f>IF(D47="Y",F47*'Department Summary'!$B$2,0)</f>
      </c>
    </row>
    <row r="48" spans="1:8" x14ac:dyDescent="0.25">
      <c r="A48">
        <v>3</v>
      </c>
      <c r="B48" t="s">
        <v>67</v>
      </c>
      <c r="C48" t="s">
        <v>72</v>
      </c>
      <c r="D48" s="24" t="s">
        <v>34</v>
      </c>
      <c r="E48" s="25">
        <v>78.69</v>
      </c>
      <c r="F48" s="26">
        <v>1583.7</v>
      </c>
      <c r="G48" s="10">
        <f>IF(D48="Y",E48*'Department Summary'!$B$2,0)</f>
      </c>
      <c r="H48" s="11">
        <f>IF(D48="Y",F48*'Department Summary'!$B$2,0)</f>
      </c>
    </row>
    <row r="49" spans="1:8" x14ac:dyDescent="0.25">
      <c r="A49" s="5">
        <v>3</v>
      </c>
      <c r="B49" s="5" t="s">
        <v>67</v>
      </c>
      <c r="C49" s="5" t="s">
        <v>73</v>
      </c>
      <c r="D49" s="24" t="s">
        <v>34</v>
      </c>
      <c r="E49" s="25">
        <v>10.17</v>
      </c>
      <c r="F49" s="26">
        <v>162.72</v>
      </c>
      <c r="G49" s="7">
        <f>IF(D49="Y",E49*'Department Summary'!$B$2,0)</f>
      </c>
      <c r="H49" s="8">
        <f>IF(D49="Y",F49*'Department Summary'!$B$2,0)</f>
      </c>
    </row>
    <row r="50" spans="1:8" x14ac:dyDescent="0.25">
      <c r="A50">
        <v>3</v>
      </c>
      <c r="B50" t="s">
        <v>67</v>
      </c>
      <c r="C50" t="s">
        <v>74</v>
      </c>
      <c r="D50" s="24" t="s">
        <v>34</v>
      </c>
      <c r="E50" s="25">
        <v>45.41</v>
      </c>
      <c r="F50" s="26">
        <v>726.56</v>
      </c>
      <c r="G50" s="10">
        <f>IF(D50="Y",E50*'Department Summary'!$B$2,0)</f>
      </c>
      <c r="H50" s="11">
        <f>IF(D50="Y",F50*'Department Summary'!$B$2,0)</f>
      </c>
    </row>
    <row r="51" spans="1:8" x14ac:dyDescent="0.25">
      <c r="A51" s="5">
        <v>4</v>
      </c>
      <c r="B51" s="5" t="s">
        <v>75</v>
      </c>
      <c r="C51" s="5" t="s">
        <v>76</v>
      </c>
      <c r="D51" s="24" t="s">
        <v>34</v>
      </c>
      <c r="E51" s="25">
        <v>22.96</v>
      </c>
      <c r="F51" s="26">
        <v>275.52</v>
      </c>
      <c r="G51" s="7">
        <f>IF(D51="Y",E51*'Department Summary'!$B$2,0)</f>
      </c>
      <c r="H51" s="8">
        <f>IF(D51="Y",F51*'Department Summary'!$B$2,0)</f>
      </c>
    </row>
    <row r="52" spans="1:8" x14ac:dyDescent="0.25">
      <c r="A52">
        <v>4</v>
      </c>
      <c r="B52" t="s">
        <v>75</v>
      </c>
      <c r="C52" t="s">
        <v>77</v>
      </c>
      <c r="D52" s="24" t="s">
        <v>34</v>
      </c>
      <c r="E52" s="25">
        <v>34.32</v>
      </c>
      <c r="F52" s="26">
        <v>411.84</v>
      </c>
      <c r="G52" s="10">
        <f>IF(D52="Y",E52*'Department Summary'!$B$2,0)</f>
      </c>
      <c r="H52" s="11">
        <f>IF(D52="Y",F52*'Department Summary'!$B$2,0)</f>
      </c>
    </row>
    <row r="53" spans="1:8" x14ac:dyDescent="0.25">
      <c r="A53" s="5">
        <v>4</v>
      </c>
      <c r="B53" s="5" t="s">
        <v>75</v>
      </c>
      <c r="C53" s="5" t="s">
        <v>78</v>
      </c>
      <c r="D53" s="24" t="s">
        <v>34</v>
      </c>
      <c r="E53" s="25">
        <v>48.77</v>
      </c>
      <c r="F53" s="26">
        <v>573.05</v>
      </c>
      <c r="G53" s="7">
        <f>IF(D53="Y",E53*'Department Summary'!$B$2,0)</f>
      </c>
      <c r="H53" s="8">
        <f>IF(D53="Y",F53*'Department Summary'!$B$2,0)</f>
      </c>
    </row>
    <row r="54" spans="1:8" x14ac:dyDescent="0.25">
      <c r="A54">
        <v>4</v>
      </c>
      <c r="B54" t="s">
        <v>75</v>
      </c>
      <c r="C54" t="s">
        <v>79</v>
      </c>
      <c r="D54" s="24" t="s">
        <v>34</v>
      </c>
      <c r="E54" s="25">
        <v>82.64</v>
      </c>
      <c r="F54" s="26">
        <v>1003.44</v>
      </c>
      <c r="G54" s="10">
        <f>IF(D54="Y",E54*'Department Summary'!$B$2,0)</f>
      </c>
      <c r="H54" s="11">
        <f>IF(D54="Y",F54*'Department Summary'!$B$2,0)</f>
      </c>
    </row>
    <row r="55" spans="1:8" x14ac:dyDescent="0.25">
      <c r="A55" s="5">
        <v>4</v>
      </c>
      <c r="B55" s="5" t="s">
        <v>75</v>
      </c>
      <c r="C55" s="5" t="s">
        <v>80</v>
      </c>
      <c r="D55" s="24" t="s">
        <v>34</v>
      </c>
      <c r="E55" s="25">
        <v>43.15</v>
      </c>
      <c r="F55" s="26">
        <v>539.38</v>
      </c>
      <c r="G55" s="7">
        <f>IF(D55="Y",E55*'Department Summary'!$B$2,0)</f>
      </c>
      <c r="H55" s="8">
        <f>IF(D55="Y",F55*'Department Summary'!$B$2,0)</f>
      </c>
    </row>
    <row r="56" spans="1:8" x14ac:dyDescent="0.25">
      <c r="A56">
        <v>4</v>
      </c>
      <c r="B56" t="s">
        <v>75</v>
      </c>
      <c r="C56" t="s">
        <v>81</v>
      </c>
      <c r="D56" s="24" t="s">
        <v>34</v>
      </c>
      <c r="E56" s="25">
        <v>34.55</v>
      </c>
      <c r="F56" s="26">
        <v>345.5</v>
      </c>
      <c r="G56" s="10">
        <f>IF(D56="Y",E56*'Department Summary'!$B$2,0)</f>
      </c>
      <c r="H56" s="11">
        <f>IF(D56="Y",F56*'Department Summary'!$B$2,0)</f>
      </c>
    </row>
    <row r="57" spans="1:8" x14ac:dyDescent="0.25">
      <c r="A57" s="5">
        <v>4</v>
      </c>
      <c r="B57" s="5" t="s">
        <v>75</v>
      </c>
      <c r="C57" s="5" t="s">
        <v>82</v>
      </c>
      <c r="D57" s="24" t="s">
        <v>34</v>
      </c>
      <c r="E57" s="25">
        <v>54.92</v>
      </c>
      <c r="F57" s="26">
        <v>686.5</v>
      </c>
      <c r="G57" s="7">
        <f>IF(D57="Y",E57*'Department Summary'!$B$2,0)</f>
      </c>
      <c r="H57" s="8">
        <f>IF(D57="Y",F57*'Department Summary'!$B$2,0)</f>
      </c>
    </row>
    <row r="58" spans="1:8" x14ac:dyDescent="0.25">
      <c r="A58">
        <v>4</v>
      </c>
      <c r="B58" t="s">
        <v>75</v>
      </c>
      <c r="C58" t="s">
        <v>83</v>
      </c>
      <c r="D58" s="24" t="s">
        <v>34</v>
      </c>
      <c r="E58" s="25">
        <v>60.34</v>
      </c>
      <c r="F58" s="26">
        <v>754.25</v>
      </c>
      <c r="G58" s="10">
        <f>IF(D58="Y",E58*'Department Summary'!$B$2,0)</f>
      </c>
      <c r="H58" s="11">
        <f>IF(D58="Y",F58*'Department Summary'!$B$2,0)</f>
      </c>
    </row>
    <row r="59" spans="1:8" x14ac:dyDescent="0.25">
      <c r="A59" s="5">
        <v>4</v>
      </c>
      <c r="B59" s="5" t="s">
        <v>75</v>
      </c>
      <c r="C59" s="5" t="s">
        <v>84</v>
      </c>
      <c r="D59" s="24" t="s">
        <v>34</v>
      </c>
      <c r="E59" s="25">
        <v>38.24</v>
      </c>
      <c r="F59" s="26">
        <v>420.64</v>
      </c>
      <c r="G59" s="7">
        <f>IF(D59="Y",E59*'Department Summary'!$B$2,0)</f>
      </c>
      <c r="H59" s="8">
        <f>IF(D59="Y",F59*'Department Summary'!$B$2,0)</f>
      </c>
    </row>
    <row r="60" spans="1:8" x14ac:dyDescent="0.25">
      <c r="A60">
        <v>5</v>
      </c>
      <c r="B60" t="s">
        <v>85</v>
      </c>
      <c r="C60" t="s">
        <v>86</v>
      </c>
      <c r="D60" s="24" t="s">
        <v>34</v>
      </c>
      <c r="E60" s="25">
        <v>80</v>
      </c>
      <c r="F60" s="26">
        <v>3657.09</v>
      </c>
      <c r="G60" s="10">
        <f>IF(D60="Y",E60*'Department Summary'!$B$2,0)</f>
      </c>
      <c r="H60" s="11">
        <f>IF(D60="Y",F60*'Department Summary'!$B$2,0)</f>
      </c>
    </row>
    <row r="61" spans="1:8" x14ac:dyDescent="0.25">
      <c r="A61" s="5">
        <v>5</v>
      </c>
      <c r="B61" s="5" t="s">
        <v>87</v>
      </c>
      <c r="C61" s="5" t="s">
        <v>88</v>
      </c>
      <c r="D61" s="24" t="s">
        <v>34</v>
      </c>
      <c r="E61" s="25">
        <v>80</v>
      </c>
      <c r="F61" s="26">
        <v>23538.69</v>
      </c>
      <c r="G61" s="7">
        <f>IF(D61="Y",E61*'Department Summary'!$B$2,0)</f>
      </c>
      <c r="H61" s="8">
        <f>IF(D61="Y",F61*'Department Summary'!$B$2,0)</f>
      </c>
    </row>
    <row r="62" spans="1:8" x14ac:dyDescent="0.25">
      <c r="A62">
        <v>5</v>
      </c>
      <c r="B62" t="s">
        <v>85</v>
      </c>
      <c r="C62" t="s">
        <v>41</v>
      </c>
      <c r="D62" s="24" t="s">
        <v>34</v>
      </c>
      <c r="E62" s="25">
        <v>0</v>
      </c>
      <c r="F62" s="26">
        <v>7177.17</v>
      </c>
      <c r="G62" s="10">
        <f>IF(D62="Y",E62*'Department Summary'!$B$2,0)</f>
      </c>
      <c r="H62" s="11">
        <f>IF(D62="Y",F62*'Department Summary'!$B$2,0)</f>
      </c>
    </row>
    <row r="63" spans="1:8" x14ac:dyDescent="0.25">
      <c r="A63" s="5">
        <v>5</v>
      </c>
      <c r="B63" s="5" t="s">
        <v>89</v>
      </c>
      <c r="C63" s="5" t="s">
        <v>90</v>
      </c>
      <c r="D63" s="24" t="s">
        <v>34</v>
      </c>
      <c r="E63" s="25">
        <v>80</v>
      </c>
      <c r="F63" s="26">
        <v>2382.69</v>
      </c>
      <c r="G63" s="7">
        <f>IF(D63="Y",E63*'Department Summary'!$B$2,0)</f>
      </c>
      <c r="H63" s="8">
        <f>IF(D63="Y",F63*'Department Summary'!$B$2,0)</f>
      </c>
    </row>
    <row r="64" spans="1:8" x14ac:dyDescent="0.25">
      <c r="A64">
        <v>5</v>
      </c>
      <c r="B64" t="s">
        <v>85</v>
      </c>
      <c r="C64" t="s">
        <v>91</v>
      </c>
      <c r="D64" s="24" t="s">
        <v>34</v>
      </c>
      <c r="E64" s="25">
        <v>80</v>
      </c>
      <c r="F64" s="26">
        <v>2461.53</v>
      </c>
      <c r="G64" s="10">
        <f>IF(D64="Y",E64*'Department Summary'!$B$2,0)</f>
      </c>
      <c r="H64" s="11">
        <f>IF(D64="Y",F64*'Department Summary'!$B$2,0)</f>
      </c>
    </row>
    <row r="65" spans="1:8" x14ac:dyDescent="0.25">
      <c r="A65" s="5">
        <v>5</v>
      </c>
      <c r="B65" s="5" t="s">
        <v>85</v>
      </c>
      <c r="C65" s="5" t="s">
        <v>92</v>
      </c>
      <c r="D65" s="24" t="s">
        <v>34</v>
      </c>
      <c r="E65" s="25">
        <v>63.49</v>
      </c>
      <c r="F65" s="26">
        <v>2027.44</v>
      </c>
      <c r="G65" s="7">
        <f>IF(D65="Y",E65*'Department Summary'!$B$2,0)</f>
      </c>
      <c r="H65" s="8">
        <f>IF(D65="Y",F65*'Department Summary'!$B$2,0)</f>
      </c>
    </row>
    <row r="66" spans="1:8" x14ac:dyDescent="0.25">
      <c r="A66">
        <v>5</v>
      </c>
      <c r="B66" t="s">
        <v>85</v>
      </c>
      <c r="C66" t="s">
        <v>93</v>
      </c>
      <c r="D66" s="24" t="s">
        <v>34</v>
      </c>
      <c r="E66" s="25">
        <v>61.87</v>
      </c>
      <c r="F66" s="26">
        <v>2175.45</v>
      </c>
      <c r="G66" s="10">
        <f>IF(D66="Y",E66*'Department Summary'!$B$2,0)</f>
      </c>
      <c r="H66" s="11">
        <f>IF(D66="Y",F66*'Department Summary'!$B$2,0)</f>
      </c>
    </row>
    <row r="67" spans="1:8" s="1" customFormat="1" x14ac:dyDescent="0.25">
      <c r="A67" s="12" t="s">
        <v>94</v>
      </c>
      <c r="B67" s="12" t="s">
        <v>94</v>
      </c>
      <c r="C67" s="12" t="s">
        <v>95</v>
      </c>
      <c r="D67" s="12" t="s">
        <v>94</v>
      </c>
      <c r="E67" s="14">
        <f>SUMIF(D2:D66,"Y",E2:E66)</f>
      </c>
      <c r="F67" s="15">
        <f>SUMIF(D2:D66,"Y",F2:F66)</f>
      </c>
      <c r="G67" s="14">
        <f>SUM(G2:G66)</f>
      </c>
      <c r="H67" s="15">
        <f>SUM(H2:H66)</f>
      </c>
    </row>
  </sheetData>
  <autoFilter ref="A1:H1"/>
  <dataValidations count="2">
    <dataValidation type="list" showErrorMessage="1" errorStyle="stop" errorTitle="Invalid value" error="Please enter Y or N" sqref="D10:D66">
      <formula1>"Y,N"</formula1>
    </dataValidation>
    <dataValidation type="list" showErrorMessage="1" errorStyle="stop" errorTitle="Invalid value" error="Please enter Y or N" sqref="D2:D66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2" customWidth="1"/>
    <col min="3" max="3" width="8" customWidth="1"/>
    <col min="4" max="4" width="26" customWidth="1"/>
    <col min="5" max="5" width="30" customWidth="1"/>
    <col min="6" max="6" width="16" customWidth="1"/>
    <col min="7" max="7" width="12" style="10" customWidth="1"/>
    <col min="8" max="8" width="14" style="11" customWidth="1"/>
  </cols>
  <sheetData>
    <row r="1" ht="28" customHeight="1" spans="1:8" x14ac:dyDescent="0.25">
      <c r="A1" s="4" t="s">
        <v>29</v>
      </c>
      <c r="B1" s="4" t="s">
        <v>3</v>
      </c>
      <c r="C1" s="4" t="s">
        <v>96</v>
      </c>
      <c r="D1" s="4" t="s">
        <v>97</v>
      </c>
      <c r="E1" s="4" t="s">
        <v>30</v>
      </c>
      <c r="F1" s="4" t="s">
        <v>98</v>
      </c>
      <c r="G1" s="27" t="s">
        <v>99</v>
      </c>
      <c r="H1" s="28" t="s">
        <v>100</v>
      </c>
    </row>
    <row r="2" spans="1:8" x14ac:dyDescent="0.25">
      <c r="A2">
        <v>1</v>
      </c>
      <c r="B2" t="s">
        <v>32</v>
      </c>
      <c r="C2">
        <v>5008</v>
      </c>
      <c r="D2" t="s">
        <v>101</v>
      </c>
      <c r="E2" t="s">
        <v>33</v>
      </c>
      <c r="F2" t="s">
        <v>102</v>
      </c>
      <c r="G2" s="10">
        <v>68.31</v>
      </c>
      <c r="H2" s="11">
        <v>1229.58</v>
      </c>
    </row>
    <row r="3" spans="1:8" x14ac:dyDescent="0.25">
      <c r="A3" s="5">
        <v>1</v>
      </c>
      <c r="B3" s="5" t="s">
        <v>32</v>
      </c>
      <c r="C3" s="5">
        <v>5008</v>
      </c>
      <c r="D3" s="5" t="s">
        <v>101</v>
      </c>
      <c r="E3" s="5" t="s">
        <v>35</v>
      </c>
      <c r="F3" s="5" t="s">
        <v>102</v>
      </c>
      <c r="G3" s="7">
        <v>24.39</v>
      </c>
      <c r="H3" s="8">
        <v>548.67</v>
      </c>
    </row>
    <row r="4" spans="1:8" x14ac:dyDescent="0.25">
      <c r="A4">
        <v>1</v>
      </c>
      <c r="B4" t="s">
        <v>32</v>
      </c>
      <c r="C4">
        <v>5008</v>
      </c>
      <c r="D4" t="s">
        <v>101</v>
      </c>
      <c r="E4" t="s">
        <v>36</v>
      </c>
      <c r="F4" t="s">
        <v>102</v>
      </c>
      <c r="G4" s="10">
        <v>80</v>
      </c>
      <c r="H4" s="11">
        <v>1360</v>
      </c>
    </row>
    <row r="5" spans="1:8" x14ac:dyDescent="0.25">
      <c r="A5" s="5">
        <v>1</v>
      </c>
      <c r="B5" s="5" t="s">
        <v>32</v>
      </c>
      <c r="C5" s="5">
        <v>5008</v>
      </c>
      <c r="D5" s="5" t="s">
        <v>101</v>
      </c>
      <c r="E5" s="5" t="s">
        <v>38</v>
      </c>
      <c r="F5" s="5" t="s">
        <v>102</v>
      </c>
      <c r="G5" s="7">
        <v>80</v>
      </c>
      <c r="H5" s="8">
        <v>2400</v>
      </c>
    </row>
    <row r="6" spans="1:8" x14ac:dyDescent="0.25">
      <c r="A6">
        <v>1</v>
      </c>
      <c r="B6" t="s">
        <v>32</v>
      </c>
      <c r="C6">
        <v>5008</v>
      </c>
      <c r="D6" t="s">
        <v>101</v>
      </c>
      <c r="E6" t="s">
        <v>39</v>
      </c>
      <c r="F6" t="s">
        <v>102</v>
      </c>
      <c r="G6" s="10">
        <v>80</v>
      </c>
      <c r="H6" s="11">
        <v>1520</v>
      </c>
    </row>
    <row r="7" spans="1:8" x14ac:dyDescent="0.25">
      <c r="A7" s="5">
        <v>1</v>
      </c>
      <c r="B7" s="5" t="s">
        <v>32</v>
      </c>
      <c r="C7" s="5">
        <v>5008</v>
      </c>
      <c r="D7" s="5" t="s">
        <v>101</v>
      </c>
      <c r="E7" s="5" t="s">
        <v>40</v>
      </c>
      <c r="F7" s="5" t="s">
        <v>102</v>
      </c>
      <c r="G7" s="7">
        <v>60</v>
      </c>
      <c r="H7" s="8">
        <v>1020</v>
      </c>
    </row>
    <row r="8" spans="1:8" x14ac:dyDescent="0.25">
      <c r="A8">
        <v>1</v>
      </c>
      <c r="B8" t="s">
        <v>32</v>
      </c>
      <c r="C8">
        <v>5008</v>
      </c>
      <c r="D8" t="s">
        <v>101</v>
      </c>
      <c r="E8" t="s">
        <v>43</v>
      </c>
      <c r="F8" t="s">
        <v>102</v>
      </c>
      <c r="G8" s="10">
        <v>37.88</v>
      </c>
      <c r="H8" s="11">
        <v>757.5</v>
      </c>
    </row>
    <row r="9" spans="1:8" x14ac:dyDescent="0.25">
      <c r="A9" s="5">
        <v>1</v>
      </c>
      <c r="B9" s="5" t="s">
        <v>32</v>
      </c>
      <c r="C9" s="5">
        <v>5008</v>
      </c>
      <c r="D9" s="5" t="s">
        <v>101</v>
      </c>
      <c r="E9" s="5" t="s">
        <v>44</v>
      </c>
      <c r="F9" s="5" t="s">
        <v>102</v>
      </c>
      <c r="G9" s="7">
        <v>13.91</v>
      </c>
      <c r="H9" s="8">
        <v>361.6</v>
      </c>
    </row>
    <row r="10" spans="1:8" x14ac:dyDescent="0.25">
      <c r="A10">
        <v>1</v>
      </c>
      <c r="B10" t="s">
        <v>32</v>
      </c>
      <c r="C10">
        <v>5008</v>
      </c>
      <c r="D10" t="s">
        <v>101</v>
      </c>
      <c r="E10" t="s">
        <v>45</v>
      </c>
      <c r="F10" t="s">
        <v>102</v>
      </c>
      <c r="G10" s="10">
        <v>49.97</v>
      </c>
      <c r="H10" s="11">
        <v>849.41</v>
      </c>
    </row>
    <row r="11" spans="1:8" x14ac:dyDescent="0.25">
      <c r="A11" s="5">
        <v>1</v>
      </c>
      <c r="B11" s="5" t="s">
        <v>32</v>
      </c>
      <c r="C11" s="5">
        <v>5008</v>
      </c>
      <c r="D11" s="5" t="s">
        <v>101</v>
      </c>
      <c r="E11" s="5" t="s">
        <v>46</v>
      </c>
      <c r="F11" s="5" t="s">
        <v>102</v>
      </c>
      <c r="G11" s="7">
        <v>65.53</v>
      </c>
      <c r="H11" s="8">
        <v>1441.66</v>
      </c>
    </row>
    <row r="12" spans="1:8" x14ac:dyDescent="0.25">
      <c r="A12">
        <v>1</v>
      </c>
      <c r="B12" t="s">
        <v>32</v>
      </c>
      <c r="C12">
        <v>5008</v>
      </c>
      <c r="D12" t="s">
        <v>101</v>
      </c>
      <c r="E12" t="s">
        <v>47</v>
      </c>
      <c r="F12" t="s">
        <v>102</v>
      </c>
      <c r="G12" s="10">
        <v>0</v>
      </c>
      <c r="H12" s="11">
        <v>619.14</v>
      </c>
    </row>
    <row r="13" spans="1:8" x14ac:dyDescent="0.25">
      <c r="A13" s="5">
        <v>1</v>
      </c>
      <c r="B13" s="5" t="s">
        <v>32</v>
      </c>
      <c r="C13" s="5">
        <v>5008</v>
      </c>
      <c r="D13" s="5" t="s">
        <v>101</v>
      </c>
      <c r="E13" s="5" t="s">
        <v>49</v>
      </c>
      <c r="F13" s="5" t="s">
        <v>102</v>
      </c>
      <c r="G13" s="7">
        <v>74.89</v>
      </c>
      <c r="H13" s="8">
        <v>2396.48</v>
      </c>
    </row>
    <row r="14" spans="1:8" x14ac:dyDescent="0.25">
      <c r="A14">
        <v>1</v>
      </c>
      <c r="B14" t="s">
        <v>32</v>
      </c>
      <c r="C14">
        <v>5008</v>
      </c>
      <c r="D14" t="s">
        <v>101</v>
      </c>
      <c r="E14" t="s">
        <v>51</v>
      </c>
      <c r="F14" t="s">
        <v>102</v>
      </c>
      <c r="G14" s="10">
        <v>40</v>
      </c>
      <c r="H14" s="11">
        <v>680</v>
      </c>
    </row>
    <row r="15" spans="1:8" x14ac:dyDescent="0.25">
      <c r="A15" s="5">
        <v>1</v>
      </c>
      <c r="B15" s="5" t="s">
        <v>32</v>
      </c>
      <c r="C15" s="5">
        <v>5008</v>
      </c>
      <c r="D15" s="5" t="s">
        <v>101</v>
      </c>
      <c r="E15" s="5" t="s">
        <v>35</v>
      </c>
      <c r="F15" s="5" t="s">
        <v>103</v>
      </c>
      <c r="G15" s="7">
        <v>1.31</v>
      </c>
      <c r="H15" s="8">
        <v>44.22</v>
      </c>
    </row>
    <row r="16" spans="1:8" x14ac:dyDescent="0.25">
      <c r="A16">
        <v>1</v>
      </c>
      <c r="B16" t="s">
        <v>32</v>
      </c>
      <c r="C16">
        <v>5008</v>
      </c>
      <c r="D16" t="s">
        <v>101</v>
      </c>
      <c r="E16" t="s">
        <v>36</v>
      </c>
      <c r="F16" t="s">
        <v>103</v>
      </c>
      <c r="G16" s="10">
        <v>3.56</v>
      </c>
      <c r="H16" s="11">
        <v>90.78</v>
      </c>
    </row>
    <row r="17" spans="1:8" x14ac:dyDescent="0.25">
      <c r="A17" s="5">
        <v>1</v>
      </c>
      <c r="B17" s="5" t="s">
        <v>32</v>
      </c>
      <c r="C17" s="5">
        <v>5008</v>
      </c>
      <c r="D17" s="5" t="s">
        <v>101</v>
      </c>
      <c r="E17" s="5" t="s">
        <v>38</v>
      </c>
      <c r="F17" s="5" t="s">
        <v>103</v>
      </c>
      <c r="G17" s="7">
        <v>6.03</v>
      </c>
      <c r="H17" s="8">
        <v>271.35</v>
      </c>
    </row>
    <row r="18" spans="1:8" x14ac:dyDescent="0.25">
      <c r="A18">
        <v>1</v>
      </c>
      <c r="B18" t="s">
        <v>32</v>
      </c>
      <c r="C18">
        <v>5008</v>
      </c>
      <c r="D18" t="s">
        <v>101</v>
      </c>
      <c r="E18" t="s">
        <v>39</v>
      </c>
      <c r="F18" t="s">
        <v>103</v>
      </c>
      <c r="G18" s="10">
        <v>15.18</v>
      </c>
      <c r="H18" s="11">
        <v>432.63</v>
      </c>
    </row>
    <row r="19" spans="1:8" x14ac:dyDescent="0.25">
      <c r="A19" s="5">
        <v>1</v>
      </c>
      <c r="B19" s="5" t="s">
        <v>32</v>
      </c>
      <c r="C19" s="5">
        <v>5008</v>
      </c>
      <c r="D19" s="5" t="s">
        <v>101</v>
      </c>
      <c r="E19" s="5" t="s">
        <v>40</v>
      </c>
      <c r="F19" s="5" t="s">
        <v>103</v>
      </c>
      <c r="G19" s="7">
        <v>2.12</v>
      </c>
      <c r="H19" s="8">
        <v>54.13</v>
      </c>
    </row>
    <row r="20" spans="1:8" x14ac:dyDescent="0.25">
      <c r="A20">
        <v>1</v>
      </c>
      <c r="B20" t="s">
        <v>32</v>
      </c>
      <c r="C20">
        <v>5008</v>
      </c>
      <c r="D20" t="s">
        <v>101</v>
      </c>
      <c r="E20" t="s">
        <v>43</v>
      </c>
      <c r="F20" t="s">
        <v>103</v>
      </c>
      <c r="G20" s="10">
        <v>2.05</v>
      </c>
      <c r="H20" s="11">
        <v>61.35</v>
      </c>
    </row>
    <row r="21" spans="1:8" x14ac:dyDescent="0.25">
      <c r="A21" s="5">
        <v>1</v>
      </c>
      <c r="B21" s="5" t="s">
        <v>32</v>
      </c>
      <c r="C21" s="5">
        <v>5008</v>
      </c>
      <c r="D21" s="5" t="s">
        <v>101</v>
      </c>
      <c r="E21" s="5" t="s">
        <v>45</v>
      </c>
      <c r="F21" s="5" t="s">
        <v>103</v>
      </c>
      <c r="G21" s="7">
        <v>5.42</v>
      </c>
      <c r="H21" s="8">
        <v>138.08</v>
      </c>
    </row>
    <row r="22" spans="1:8" x14ac:dyDescent="0.25">
      <c r="A22">
        <v>1</v>
      </c>
      <c r="B22" t="s">
        <v>32</v>
      </c>
      <c r="C22">
        <v>5008</v>
      </c>
      <c r="D22" t="s">
        <v>101</v>
      </c>
      <c r="E22" t="s">
        <v>47</v>
      </c>
      <c r="F22" t="s">
        <v>103</v>
      </c>
      <c r="G22" s="10">
        <v>1.11</v>
      </c>
      <c r="H22" s="11">
        <v>28.31</v>
      </c>
    </row>
    <row r="23" spans="1:8" x14ac:dyDescent="0.25">
      <c r="A23" s="5">
        <v>1</v>
      </c>
      <c r="B23" s="5" t="s">
        <v>32</v>
      </c>
      <c r="C23" s="5">
        <v>5008</v>
      </c>
      <c r="D23" s="5" t="s">
        <v>101</v>
      </c>
      <c r="E23" s="5" t="s">
        <v>49</v>
      </c>
      <c r="F23" s="5" t="s">
        <v>103</v>
      </c>
      <c r="G23" s="7">
        <v>4.41</v>
      </c>
      <c r="H23" s="8">
        <v>211.68</v>
      </c>
    </row>
    <row r="24" spans="1:8" x14ac:dyDescent="0.25">
      <c r="A24">
        <v>1</v>
      </c>
      <c r="B24" t="s">
        <v>32</v>
      </c>
      <c r="C24">
        <v>5008</v>
      </c>
      <c r="D24" t="s">
        <v>101</v>
      </c>
      <c r="E24" t="s">
        <v>51</v>
      </c>
      <c r="F24" t="s">
        <v>103</v>
      </c>
      <c r="G24" s="10">
        <v>2.63</v>
      </c>
      <c r="H24" s="11">
        <v>67.19</v>
      </c>
    </row>
    <row r="25" spans="1:8" x14ac:dyDescent="0.25">
      <c r="A25" s="5">
        <v>1</v>
      </c>
      <c r="B25" s="5" t="s">
        <v>32</v>
      </c>
      <c r="C25" s="5">
        <v>5008</v>
      </c>
      <c r="D25" s="5" t="s">
        <v>101</v>
      </c>
      <c r="E25" s="5" t="s">
        <v>35</v>
      </c>
      <c r="F25" s="5" t="s">
        <v>104</v>
      </c>
      <c r="G25" s="7">
        <v>16</v>
      </c>
      <c r="H25" s="8">
        <v>360</v>
      </c>
    </row>
    <row r="26" spans="1:8" x14ac:dyDescent="0.25">
      <c r="A26">
        <v>1</v>
      </c>
      <c r="B26" t="s">
        <v>32</v>
      </c>
      <c r="C26">
        <v>5008</v>
      </c>
      <c r="D26" t="s">
        <v>101</v>
      </c>
      <c r="E26" t="s">
        <v>44</v>
      </c>
      <c r="F26" t="s">
        <v>104</v>
      </c>
      <c r="G26" s="10">
        <v>2</v>
      </c>
      <c r="H26" s="11">
        <v>52</v>
      </c>
    </row>
    <row r="27" spans="1:8" x14ac:dyDescent="0.25">
      <c r="A27" s="5">
        <v>1</v>
      </c>
      <c r="B27" s="5" t="s">
        <v>32</v>
      </c>
      <c r="C27" s="5">
        <v>5008</v>
      </c>
      <c r="D27" s="5" t="s">
        <v>101</v>
      </c>
      <c r="E27" s="5" t="s">
        <v>45</v>
      </c>
      <c r="F27" s="5" t="s">
        <v>104</v>
      </c>
      <c r="G27" s="7">
        <v>6</v>
      </c>
      <c r="H27" s="8">
        <v>102</v>
      </c>
    </row>
    <row r="28" spans="1:8" x14ac:dyDescent="0.25">
      <c r="A28">
        <v>1</v>
      </c>
      <c r="B28" t="s">
        <v>32</v>
      </c>
      <c r="C28">
        <v>5008</v>
      </c>
      <c r="D28" t="s">
        <v>101</v>
      </c>
      <c r="E28" t="s">
        <v>49</v>
      </c>
      <c r="F28" t="s">
        <v>104</v>
      </c>
      <c r="G28" s="10">
        <v>8</v>
      </c>
      <c r="H28" s="11">
        <v>256</v>
      </c>
    </row>
    <row r="29" spans="1:8" x14ac:dyDescent="0.25">
      <c r="A29" s="5">
        <v>1</v>
      </c>
      <c r="B29" s="5" t="s">
        <v>32</v>
      </c>
      <c r="C29" s="5">
        <v>5008</v>
      </c>
      <c r="D29" s="5" t="s">
        <v>101</v>
      </c>
      <c r="E29" s="5" t="s">
        <v>50</v>
      </c>
      <c r="F29" s="5" t="s">
        <v>104</v>
      </c>
      <c r="G29" s="7">
        <v>1</v>
      </c>
      <c r="H29" s="8">
        <v>17</v>
      </c>
    </row>
    <row r="30" spans="1:8" x14ac:dyDescent="0.25">
      <c r="A30">
        <v>1</v>
      </c>
      <c r="B30" t="s">
        <v>32</v>
      </c>
      <c r="C30">
        <v>5009</v>
      </c>
      <c r="D30" t="s">
        <v>105</v>
      </c>
      <c r="E30" t="s">
        <v>37</v>
      </c>
      <c r="F30" t="s">
        <v>102</v>
      </c>
      <c r="G30" s="10">
        <v>70.07</v>
      </c>
      <c r="H30" s="11">
        <v>2025.85</v>
      </c>
    </row>
    <row r="31" spans="1:8" x14ac:dyDescent="0.25">
      <c r="A31" s="5">
        <v>1</v>
      </c>
      <c r="B31" s="5" t="s">
        <v>32</v>
      </c>
      <c r="C31" s="5">
        <v>5009</v>
      </c>
      <c r="D31" s="5" t="s">
        <v>105</v>
      </c>
      <c r="E31" s="5" t="s">
        <v>41</v>
      </c>
      <c r="F31" s="5" t="s">
        <v>102</v>
      </c>
      <c r="G31" s="7">
        <v>0</v>
      </c>
      <c r="H31" s="8">
        <v>1922.83</v>
      </c>
    </row>
    <row r="32" spans="1:8" x14ac:dyDescent="0.25">
      <c r="A32">
        <v>1</v>
      </c>
      <c r="B32" t="s">
        <v>32</v>
      </c>
      <c r="C32">
        <v>5009</v>
      </c>
      <c r="D32" t="s">
        <v>105</v>
      </c>
      <c r="E32" t="s">
        <v>42</v>
      </c>
      <c r="F32" t="s">
        <v>102</v>
      </c>
      <c r="G32" s="10">
        <v>68</v>
      </c>
      <c r="H32" s="11">
        <v>2615.39</v>
      </c>
    </row>
    <row r="33" spans="1:8" x14ac:dyDescent="0.25">
      <c r="A33" s="5">
        <v>1</v>
      </c>
      <c r="B33" s="5" t="s">
        <v>32</v>
      </c>
      <c r="C33" s="5">
        <v>5009</v>
      </c>
      <c r="D33" s="5" t="s">
        <v>105</v>
      </c>
      <c r="E33" s="5" t="s">
        <v>48</v>
      </c>
      <c r="F33" s="5" t="s">
        <v>102</v>
      </c>
      <c r="G33" s="7">
        <v>80</v>
      </c>
      <c r="H33" s="8">
        <v>1840</v>
      </c>
    </row>
    <row r="34" spans="1:8" x14ac:dyDescent="0.25">
      <c r="A34">
        <v>1</v>
      </c>
      <c r="B34" t="s">
        <v>32</v>
      </c>
      <c r="C34">
        <v>5009</v>
      </c>
      <c r="D34" t="s">
        <v>105</v>
      </c>
      <c r="E34" t="s">
        <v>52</v>
      </c>
      <c r="F34" t="s">
        <v>102</v>
      </c>
      <c r="G34" s="10">
        <v>40</v>
      </c>
      <c r="H34" s="11">
        <v>1230.77</v>
      </c>
    </row>
    <row r="35" spans="1:8" x14ac:dyDescent="0.25">
      <c r="A35" s="5">
        <v>1</v>
      </c>
      <c r="B35" s="5" t="s">
        <v>32</v>
      </c>
      <c r="C35" s="5">
        <v>5009</v>
      </c>
      <c r="D35" s="5" t="s">
        <v>105</v>
      </c>
      <c r="E35" s="5" t="s">
        <v>42</v>
      </c>
      <c r="F35" s="5" t="s">
        <v>106</v>
      </c>
      <c r="G35" s="7">
        <v>0</v>
      </c>
      <c r="H35" s="8">
        <v>63.75</v>
      </c>
    </row>
    <row r="36" spans="1:8" x14ac:dyDescent="0.25">
      <c r="A36">
        <v>1</v>
      </c>
      <c r="B36" t="s">
        <v>32</v>
      </c>
      <c r="C36">
        <v>5009</v>
      </c>
      <c r="D36" t="s">
        <v>105</v>
      </c>
      <c r="E36" t="s">
        <v>52</v>
      </c>
      <c r="F36" t="s">
        <v>106</v>
      </c>
      <c r="G36" s="10">
        <v>0</v>
      </c>
      <c r="H36" s="11">
        <v>37.5</v>
      </c>
    </row>
    <row r="37" spans="1:8" x14ac:dyDescent="0.25">
      <c r="A37" s="5">
        <v>1</v>
      </c>
      <c r="B37" s="5" t="s">
        <v>32</v>
      </c>
      <c r="C37" s="5">
        <v>5009</v>
      </c>
      <c r="D37" s="5" t="s">
        <v>105</v>
      </c>
      <c r="E37" s="5" t="s">
        <v>48</v>
      </c>
      <c r="F37" s="5" t="s">
        <v>103</v>
      </c>
      <c r="G37" s="7">
        <v>27.61</v>
      </c>
      <c r="H37" s="8">
        <v>952.55</v>
      </c>
    </row>
    <row r="38" spans="1:8" x14ac:dyDescent="0.25">
      <c r="A38">
        <v>2</v>
      </c>
      <c r="B38" t="s">
        <v>53</v>
      </c>
      <c r="C38">
        <v>5008</v>
      </c>
      <c r="D38" t="s">
        <v>101</v>
      </c>
      <c r="E38" t="s">
        <v>35</v>
      </c>
      <c r="F38" t="s">
        <v>102</v>
      </c>
      <c r="G38" s="10">
        <v>24.38</v>
      </c>
      <c r="H38" s="11">
        <v>548.66</v>
      </c>
    </row>
    <row r="39" spans="1:8" x14ac:dyDescent="0.25">
      <c r="A39" s="5">
        <v>2</v>
      </c>
      <c r="B39" s="5" t="s">
        <v>53</v>
      </c>
      <c r="C39" s="5">
        <v>5008</v>
      </c>
      <c r="D39" s="5" t="s">
        <v>101</v>
      </c>
      <c r="E39" s="5" t="s">
        <v>54</v>
      </c>
      <c r="F39" s="5" t="s">
        <v>102</v>
      </c>
      <c r="G39" s="7">
        <v>76.65</v>
      </c>
      <c r="H39" s="8">
        <v>1149.75</v>
      </c>
    </row>
    <row r="40" spans="1:8" x14ac:dyDescent="0.25">
      <c r="A40">
        <v>2</v>
      </c>
      <c r="B40" t="s">
        <v>53</v>
      </c>
      <c r="C40">
        <v>5008</v>
      </c>
      <c r="D40" t="s">
        <v>101</v>
      </c>
      <c r="E40" t="s">
        <v>55</v>
      </c>
      <c r="F40" t="s">
        <v>102</v>
      </c>
      <c r="G40" s="10">
        <v>75.75</v>
      </c>
      <c r="H40" s="11">
        <v>1136.25</v>
      </c>
    </row>
    <row r="41" spans="1:8" x14ac:dyDescent="0.25">
      <c r="A41" s="5">
        <v>2</v>
      </c>
      <c r="B41" s="5" t="s">
        <v>53</v>
      </c>
      <c r="C41" s="5">
        <v>5008</v>
      </c>
      <c r="D41" s="5" t="s">
        <v>101</v>
      </c>
      <c r="E41" s="5" t="s">
        <v>56</v>
      </c>
      <c r="F41" s="5" t="s">
        <v>102</v>
      </c>
      <c r="G41" s="7">
        <v>80</v>
      </c>
      <c r="H41" s="8">
        <v>1840</v>
      </c>
    </row>
    <row r="42" spans="1:8" x14ac:dyDescent="0.25">
      <c r="A42">
        <v>2</v>
      </c>
      <c r="B42" t="s">
        <v>53</v>
      </c>
      <c r="C42">
        <v>5008</v>
      </c>
      <c r="D42" t="s">
        <v>101</v>
      </c>
      <c r="E42" t="s">
        <v>40</v>
      </c>
      <c r="F42" t="s">
        <v>102</v>
      </c>
      <c r="G42" s="10">
        <v>20</v>
      </c>
      <c r="H42" s="11">
        <v>340</v>
      </c>
    </row>
    <row r="43" spans="1:8" x14ac:dyDescent="0.25">
      <c r="A43" s="5">
        <v>2</v>
      </c>
      <c r="B43" s="5" t="s">
        <v>53</v>
      </c>
      <c r="C43" s="5">
        <v>5008</v>
      </c>
      <c r="D43" s="5" t="s">
        <v>101</v>
      </c>
      <c r="E43" s="5" t="s">
        <v>43</v>
      </c>
      <c r="F43" s="5" t="s">
        <v>102</v>
      </c>
      <c r="G43" s="7">
        <v>37.87</v>
      </c>
      <c r="H43" s="8">
        <v>757.5</v>
      </c>
    </row>
    <row r="44" spans="1:8" x14ac:dyDescent="0.25">
      <c r="A44">
        <v>2</v>
      </c>
      <c r="B44" t="s">
        <v>53</v>
      </c>
      <c r="C44">
        <v>5008</v>
      </c>
      <c r="D44" t="s">
        <v>101</v>
      </c>
      <c r="E44" t="s">
        <v>44</v>
      </c>
      <c r="F44" t="s">
        <v>102</v>
      </c>
      <c r="G44" s="10">
        <v>41.72</v>
      </c>
      <c r="H44" s="11">
        <v>1084.78</v>
      </c>
    </row>
    <row r="45" spans="1:8" x14ac:dyDescent="0.25">
      <c r="A45" s="5">
        <v>2</v>
      </c>
      <c r="B45" s="5" t="s">
        <v>53</v>
      </c>
      <c r="C45" s="5">
        <v>5008</v>
      </c>
      <c r="D45" s="5" t="s">
        <v>101</v>
      </c>
      <c r="E45" s="5" t="s">
        <v>45</v>
      </c>
      <c r="F45" s="5" t="s">
        <v>102</v>
      </c>
      <c r="G45" s="7">
        <v>16.65</v>
      </c>
      <c r="H45" s="8">
        <v>283.13</v>
      </c>
    </row>
    <row r="46" spans="1:8" x14ac:dyDescent="0.25">
      <c r="A46">
        <v>2</v>
      </c>
      <c r="B46" t="s">
        <v>53</v>
      </c>
      <c r="C46">
        <v>5008</v>
      </c>
      <c r="D46" t="s">
        <v>101</v>
      </c>
      <c r="E46" t="s">
        <v>58</v>
      </c>
      <c r="F46" t="s">
        <v>102</v>
      </c>
      <c r="G46" s="10">
        <v>65.51</v>
      </c>
      <c r="H46" s="11">
        <v>1310.2</v>
      </c>
    </row>
    <row r="47" spans="1:8" x14ac:dyDescent="0.25">
      <c r="A47" s="5">
        <v>2</v>
      </c>
      <c r="B47" s="5" t="s">
        <v>53</v>
      </c>
      <c r="C47" s="5">
        <v>5008</v>
      </c>
      <c r="D47" s="5" t="s">
        <v>101</v>
      </c>
      <c r="E47" s="5" t="s">
        <v>47</v>
      </c>
      <c r="F47" s="5" t="s">
        <v>102</v>
      </c>
      <c r="G47" s="7">
        <v>36.42</v>
      </c>
      <c r="H47" s="8">
        <v>619.14</v>
      </c>
    </row>
    <row r="48" spans="1:8" x14ac:dyDescent="0.25">
      <c r="A48">
        <v>2</v>
      </c>
      <c r="B48" t="s">
        <v>53</v>
      </c>
      <c r="C48">
        <v>5008</v>
      </c>
      <c r="D48" t="s">
        <v>101</v>
      </c>
      <c r="E48" t="s">
        <v>60</v>
      </c>
      <c r="F48" t="s">
        <v>102</v>
      </c>
      <c r="G48" s="10">
        <v>74.59</v>
      </c>
      <c r="H48" s="11">
        <v>2237.7</v>
      </c>
    </row>
    <row r="49" spans="1:8" x14ac:dyDescent="0.25">
      <c r="A49" s="5">
        <v>2</v>
      </c>
      <c r="B49" s="5" t="s">
        <v>53</v>
      </c>
      <c r="C49" s="5">
        <v>5008</v>
      </c>
      <c r="D49" s="5" t="s">
        <v>101</v>
      </c>
      <c r="E49" s="5" t="s">
        <v>61</v>
      </c>
      <c r="F49" s="5" t="s">
        <v>102</v>
      </c>
      <c r="G49" s="7">
        <v>50.05</v>
      </c>
      <c r="H49" s="8">
        <v>800.8</v>
      </c>
    </row>
    <row r="50" spans="1:8" x14ac:dyDescent="0.25">
      <c r="A50">
        <v>2</v>
      </c>
      <c r="B50" t="s">
        <v>53</v>
      </c>
      <c r="C50">
        <v>5008</v>
      </c>
      <c r="D50" t="s">
        <v>101</v>
      </c>
      <c r="E50" t="s">
        <v>62</v>
      </c>
      <c r="F50" t="s">
        <v>102</v>
      </c>
      <c r="G50" s="10">
        <v>80</v>
      </c>
      <c r="H50" s="11">
        <v>2000</v>
      </c>
    </row>
    <row r="51" spans="1:8" x14ac:dyDescent="0.25">
      <c r="A51" s="5">
        <v>2</v>
      </c>
      <c r="B51" s="5" t="s">
        <v>53</v>
      </c>
      <c r="C51" s="5">
        <v>5008</v>
      </c>
      <c r="D51" s="5" t="s">
        <v>101</v>
      </c>
      <c r="E51" s="5" t="s">
        <v>63</v>
      </c>
      <c r="F51" s="5" t="s">
        <v>102</v>
      </c>
      <c r="G51" s="7">
        <v>80</v>
      </c>
      <c r="H51" s="8">
        <v>2320</v>
      </c>
    </row>
    <row r="52" spans="1:8" x14ac:dyDescent="0.25">
      <c r="A52">
        <v>2</v>
      </c>
      <c r="B52" t="s">
        <v>53</v>
      </c>
      <c r="C52">
        <v>5008</v>
      </c>
      <c r="D52" t="s">
        <v>101</v>
      </c>
      <c r="E52" t="s">
        <v>64</v>
      </c>
      <c r="F52" t="s">
        <v>102</v>
      </c>
      <c r="G52" s="10">
        <v>80</v>
      </c>
      <c r="H52" s="11">
        <v>1280</v>
      </c>
    </row>
    <row r="53" spans="1:8" x14ac:dyDescent="0.25">
      <c r="A53" s="5">
        <v>2</v>
      </c>
      <c r="B53" s="5" t="s">
        <v>53</v>
      </c>
      <c r="C53" s="5">
        <v>5008</v>
      </c>
      <c r="D53" s="5" t="s">
        <v>101</v>
      </c>
      <c r="E53" s="5" t="s">
        <v>65</v>
      </c>
      <c r="F53" s="5" t="s">
        <v>102</v>
      </c>
      <c r="G53" s="7">
        <v>80</v>
      </c>
      <c r="H53" s="8">
        <v>1200</v>
      </c>
    </row>
    <row r="54" spans="1:8" x14ac:dyDescent="0.25">
      <c r="A54">
        <v>2</v>
      </c>
      <c r="B54" t="s">
        <v>53</v>
      </c>
      <c r="C54">
        <v>5008</v>
      </c>
      <c r="D54" t="s">
        <v>101</v>
      </c>
      <c r="E54" t="s">
        <v>66</v>
      </c>
      <c r="F54" t="s">
        <v>102</v>
      </c>
      <c r="G54" s="10">
        <v>80</v>
      </c>
      <c r="H54" s="11">
        <v>1120</v>
      </c>
    </row>
    <row r="55" spans="1:8" x14ac:dyDescent="0.25">
      <c r="A55" s="5">
        <v>2</v>
      </c>
      <c r="B55" s="5" t="s">
        <v>53</v>
      </c>
      <c r="C55" s="5">
        <v>5008</v>
      </c>
      <c r="D55" s="5" t="s">
        <v>101</v>
      </c>
      <c r="E55" s="5" t="s">
        <v>51</v>
      </c>
      <c r="F55" s="5" t="s">
        <v>102</v>
      </c>
      <c r="G55" s="7">
        <v>40</v>
      </c>
      <c r="H55" s="8">
        <v>680</v>
      </c>
    </row>
    <row r="56" spans="1:8" x14ac:dyDescent="0.25">
      <c r="A56">
        <v>2</v>
      </c>
      <c r="B56" t="s">
        <v>53</v>
      </c>
      <c r="C56">
        <v>5008</v>
      </c>
      <c r="D56" t="s">
        <v>101</v>
      </c>
      <c r="E56" t="s">
        <v>35</v>
      </c>
      <c r="F56" t="s">
        <v>103</v>
      </c>
      <c r="G56" s="10">
        <v>1.31</v>
      </c>
      <c r="H56" s="11">
        <v>44.21</v>
      </c>
    </row>
    <row r="57" spans="1:8" x14ac:dyDescent="0.25">
      <c r="A57" s="5">
        <v>2</v>
      </c>
      <c r="B57" s="5" t="s">
        <v>53</v>
      </c>
      <c r="C57" s="5">
        <v>5008</v>
      </c>
      <c r="D57" s="5" t="s">
        <v>101</v>
      </c>
      <c r="E57" s="5" t="s">
        <v>54</v>
      </c>
      <c r="F57" s="5" t="s">
        <v>103</v>
      </c>
      <c r="G57" s="7">
        <v>4.87</v>
      </c>
      <c r="H57" s="8">
        <v>109.58</v>
      </c>
    </row>
    <row r="58" spans="1:8" x14ac:dyDescent="0.25">
      <c r="A58">
        <v>2</v>
      </c>
      <c r="B58" t="s">
        <v>53</v>
      </c>
      <c r="C58">
        <v>5008</v>
      </c>
      <c r="D58" t="s">
        <v>101</v>
      </c>
      <c r="E58" t="s">
        <v>56</v>
      </c>
      <c r="F58" t="s">
        <v>103</v>
      </c>
      <c r="G58" s="10">
        <v>2.57</v>
      </c>
      <c r="H58" s="11">
        <v>88.67</v>
      </c>
    </row>
    <row r="59" spans="1:8" x14ac:dyDescent="0.25">
      <c r="A59" s="5">
        <v>2</v>
      </c>
      <c r="B59" s="5" t="s">
        <v>53</v>
      </c>
      <c r="C59" s="5">
        <v>5008</v>
      </c>
      <c r="D59" s="5" t="s">
        <v>101</v>
      </c>
      <c r="E59" s="5" t="s">
        <v>40</v>
      </c>
      <c r="F59" s="5" t="s">
        <v>103</v>
      </c>
      <c r="G59" s="7">
        <v>0.71</v>
      </c>
      <c r="H59" s="8">
        <v>18.04</v>
      </c>
    </row>
    <row r="60" spans="1:8" x14ac:dyDescent="0.25">
      <c r="A60">
        <v>2</v>
      </c>
      <c r="B60" t="s">
        <v>53</v>
      </c>
      <c r="C60">
        <v>5008</v>
      </c>
      <c r="D60" t="s">
        <v>101</v>
      </c>
      <c r="E60" t="s">
        <v>43</v>
      </c>
      <c r="F60" t="s">
        <v>103</v>
      </c>
      <c r="G60" s="10">
        <v>2.04</v>
      </c>
      <c r="H60" s="11">
        <v>61.35</v>
      </c>
    </row>
    <row r="61" spans="1:8" x14ac:dyDescent="0.25">
      <c r="A61" s="5">
        <v>2</v>
      </c>
      <c r="B61" s="5" t="s">
        <v>53</v>
      </c>
      <c r="C61" s="5">
        <v>5008</v>
      </c>
      <c r="D61" s="5" t="s">
        <v>101</v>
      </c>
      <c r="E61" s="5" t="s">
        <v>45</v>
      </c>
      <c r="F61" s="5" t="s">
        <v>103</v>
      </c>
      <c r="G61" s="7">
        <v>1.8</v>
      </c>
      <c r="H61" s="8">
        <v>46.03</v>
      </c>
    </row>
    <row r="62" spans="1:8" x14ac:dyDescent="0.25">
      <c r="A62">
        <v>2</v>
      </c>
      <c r="B62" t="s">
        <v>53</v>
      </c>
      <c r="C62">
        <v>5008</v>
      </c>
      <c r="D62" t="s">
        <v>101</v>
      </c>
      <c r="E62" t="s">
        <v>47</v>
      </c>
      <c r="F62" t="s">
        <v>103</v>
      </c>
      <c r="G62" s="10">
        <v>1.11</v>
      </c>
      <c r="H62" s="11">
        <v>28.3</v>
      </c>
    </row>
    <row r="63" spans="1:8" x14ac:dyDescent="0.25">
      <c r="A63" s="5">
        <v>2</v>
      </c>
      <c r="B63" s="5" t="s">
        <v>53</v>
      </c>
      <c r="C63" s="5">
        <v>5008</v>
      </c>
      <c r="D63" s="5" t="s">
        <v>101</v>
      </c>
      <c r="E63" s="5" t="s">
        <v>60</v>
      </c>
      <c r="F63" s="5" t="s">
        <v>103</v>
      </c>
      <c r="G63" s="7">
        <v>1.7</v>
      </c>
      <c r="H63" s="8">
        <v>76.5</v>
      </c>
    </row>
    <row r="64" spans="1:8" x14ac:dyDescent="0.25">
      <c r="A64">
        <v>2</v>
      </c>
      <c r="B64" t="s">
        <v>53</v>
      </c>
      <c r="C64">
        <v>5008</v>
      </c>
      <c r="D64" t="s">
        <v>101</v>
      </c>
      <c r="E64" t="s">
        <v>62</v>
      </c>
      <c r="F64" t="s">
        <v>103</v>
      </c>
      <c r="G64" s="10">
        <v>0.65</v>
      </c>
      <c r="H64" s="11">
        <v>24.38</v>
      </c>
    </row>
    <row r="65" spans="1:8" x14ac:dyDescent="0.25">
      <c r="A65" s="5">
        <v>2</v>
      </c>
      <c r="B65" s="5" t="s">
        <v>53</v>
      </c>
      <c r="C65" s="5">
        <v>5008</v>
      </c>
      <c r="D65" s="5" t="s">
        <v>101</v>
      </c>
      <c r="E65" s="5" t="s">
        <v>63</v>
      </c>
      <c r="F65" s="5" t="s">
        <v>103</v>
      </c>
      <c r="G65" s="7">
        <v>2.02</v>
      </c>
      <c r="H65" s="8">
        <v>87.87</v>
      </c>
    </row>
    <row r="66" spans="1:8" x14ac:dyDescent="0.25">
      <c r="A66">
        <v>2</v>
      </c>
      <c r="B66" t="s">
        <v>53</v>
      </c>
      <c r="C66">
        <v>5008</v>
      </c>
      <c r="D66" t="s">
        <v>101</v>
      </c>
      <c r="E66" t="s">
        <v>64</v>
      </c>
      <c r="F66" t="s">
        <v>103</v>
      </c>
      <c r="G66" s="10">
        <v>2.29</v>
      </c>
      <c r="H66" s="11">
        <v>54.96</v>
      </c>
    </row>
    <row r="67" spans="1:8" x14ac:dyDescent="0.25">
      <c r="A67" s="5">
        <v>2</v>
      </c>
      <c r="B67" s="5" t="s">
        <v>53</v>
      </c>
      <c r="C67" s="5">
        <v>5008</v>
      </c>
      <c r="D67" s="5" t="s">
        <v>101</v>
      </c>
      <c r="E67" s="5" t="s">
        <v>65</v>
      </c>
      <c r="F67" s="5" t="s">
        <v>103</v>
      </c>
      <c r="G67" s="7">
        <v>5.95</v>
      </c>
      <c r="H67" s="8">
        <v>133.88</v>
      </c>
    </row>
    <row r="68" spans="1:8" x14ac:dyDescent="0.25">
      <c r="A68">
        <v>2</v>
      </c>
      <c r="B68" t="s">
        <v>53</v>
      </c>
      <c r="C68">
        <v>5008</v>
      </c>
      <c r="D68" t="s">
        <v>101</v>
      </c>
      <c r="E68" t="s">
        <v>66</v>
      </c>
      <c r="F68" t="s">
        <v>103</v>
      </c>
      <c r="G68" s="10">
        <v>1.14</v>
      </c>
      <c r="H68" s="11">
        <v>23.94</v>
      </c>
    </row>
    <row r="69" spans="1:8" x14ac:dyDescent="0.25">
      <c r="A69" s="5">
        <v>2</v>
      </c>
      <c r="B69" s="5" t="s">
        <v>53</v>
      </c>
      <c r="C69" s="5">
        <v>5008</v>
      </c>
      <c r="D69" s="5" t="s">
        <v>101</v>
      </c>
      <c r="E69" s="5" t="s">
        <v>51</v>
      </c>
      <c r="F69" s="5" t="s">
        <v>103</v>
      </c>
      <c r="G69" s="7">
        <v>2.64</v>
      </c>
      <c r="H69" s="8">
        <v>67.2</v>
      </c>
    </row>
    <row r="70" spans="1:8" x14ac:dyDescent="0.25">
      <c r="A70">
        <v>2</v>
      </c>
      <c r="B70" t="s">
        <v>53</v>
      </c>
      <c r="C70">
        <v>5008</v>
      </c>
      <c r="D70" t="s">
        <v>101</v>
      </c>
      <c r="E70" t="s">
        <v>35</v>
      </c>
      <c r="F70" t="s">
        <v>104</v>
      </c>
      <c r="G70" s="10">
        <v>16</v>
      </c>
      <c r="H70" s="11">
        <v>360</v>
      </c>
    </row>
    <row r="71" spans="1:8" x14ac:dyDescent="0.25">
      <c r="A71" s="5">
        <v>2</v>
      </c>
      <c r="B71" s="5" t="s">
        <v>53</v>
      </c>
      <c r="C71" s="5">
        <v>5008</v>
      </c>
      <c r="D71" s="5" t="s">
        <v>101</v>
      </c>
      <c r="E71" s="5" t="s">
        <v>44</v>
      </c>
      <c r="F71" s="5" t="s">
        <v>104</v>
      </c>
      <c r="G71" s="7">
        <v>6</v>
      </c>
      <c r="H71" s="8">
        <v>156</v>
      </c>
    </row>
    <row r="72" spans="1:8" x14ac:dyDescent="0.25">
      <c r="A72">
        <v>2</v>
      </c>
      <c r="B72" t="s">
        <v>53</v>
      </c>
      <c r="C72">
        <v>5008</v>
      </c>
      <c r="D72" t="s">
        <v>101</v>
      </c>
      <c r="E72" t="s">
        <v>45</v>
      </c>
      <c r="F72" t="s">
        <v>104</v>
      </c>
      <c r="G72" s="10">
        <v>2</v>
      </c>
      <c r="H72" s="11">
        <v>34</v>
      </c>
    </row>
    <row r="73" spans="1:8" x14ac:dyDescent="0.25">
      <c r="A73" s="5">
        <v>2</v>
      </c>
      <c r="B73" s="5" t="s">
        <v>53</v>
      </c>
      <c r="C73" s="5">
        <v>5008</v>
      </c>
      <c r="D73" s="5" t="s">
        <v>101</v>
      </c>
      <c r="E73" s="5" t="s">
        <v>61</v>
      </c>
      <c r="F73" s="5" t="s">
        <v>104</v>
      </c>
      <c r="G73" s="7">
        <v>21</v>
      </c>
      <c r="H73" s="8">
        <v>336</v>
      </c>
    </row>
    <row r="74" spans="1:8" x14ac:dyDescent="0.25">
      <c r="A74">
        <v>2</v>
      </c>
      <c r="B74" t="s">
        <v>53</v>
      </c>
      <c r="C74">
        <v>5009</v>
      </c>
      <c r="D74" t="s">
        <v>105</v>
      </c>
      <c r="E74" t="s">
        <v>37</v>
      </c>
      <c r="F74" t="s">
        <v>102</v>
      </c>
      <c r="G74" s="10">
        <v>12.37</v>
      </c>
      <c r="H74" s="11">
        <v>357.51</v>
      </c>
    </row>
    <row r="75" spans="1:8" x14ac:dyDescent="0.25">
      <c r="A75" s="5">
        <v>2</v>
      </c>
      <c r="B75" s="5" t="s">
        <v>53</v>
      </c>
      <c r="C75" s="5">
        <v>5009</v>
      </c>
      <c r="D75" s="5" t="s">
        <v>105</v>
      </c>
      <c r="E75" s="5" t="s">
        <v>57</v>
      </c>
      <c r="F75" s="5" t="s">
        <v>102</v>
      </c>
      <c r="G75" s="7">
        <v>80</v>
      </c>
      <c r="H75" s="8">
        <v>3076.93</v>
      </c>
    </row>
    <row r="76" spans="1:8" x14ac:dyDescent="0.25">
      <c r="A76">
        <v>2</v>
      </c>
      <c r="B76" t="s">
        <v>53</v>
      </c>
      <c r="C76">
        <v>5009</v>
      </c>
      <c r="D76" t="s">
        <v>105</v>
      </c>
      <c r="E76" t="s">
        <v>59</v>
      </c>
      <c r="F76" t="s">
        <v>102</v>
      </c>
      <c r="G76" s="10">
        <v>80</v>
      </c>
      <c r="H76" s="11">
        <v>1600</v>
      </c>
    </row>
    <row r="77" spans="1:8" x14ac:dyDescent="0.25">
      <c r="A77" s="5">
        <v>2</v>
      </c>
      <c r="B77" s="5" t="s">
        <v>53</v>
      </c>
      <c r="C77" s="5">
        <v>5009</v>
      </c>
      <c r="D77" s="5" t="s">
        <v>105</v>
      </c>
      <c r="E77" s="5" t="s">
        <v>52</v>
      </c>
      <c r="F77" s="5" t="s">
        <v>102</v>
      </c>
      <c r="G77" s="7">
        <v>40</v>
      </c>
      <c r="H77" s="8">
        <v>1230.77</v>
      </c>
    </row>
    <row r="78" spans="1:8" x14ac:dyDescent="0.25">
      <c r="A78">
        <v>2</v>
      </c>
      <c r="B78" t="s">
        <v>53</v>
      </c>
      <c r="C78">
        <v>5009</v>
      </c>
      <c r="D78" t="s">
        <v>105</v>
      </c>
      <c r="E78" t="s">
        <v>57</v>
      </c>
      <c r="F78" t="s">
        <v>106</v>
      </c>
      <c r="G78" s="10">
        <v>0</v>
      </c>
      <c r="H78" s="11">
        <v>75</v>
      </c>
    </row>
    <row r="79" spans="1:8" x14ac:dyDescent="0.25">
      <c r="A79" s="5">
        <v>2</v>
      </c>
      <c r="B79" s="5" t="s">
        <v>53</v>
      </c>
      <c r="C79" s="5">
        <v>5009</v>
      </c>
      <c r="D79" s="5" t="s">
        <v>105</v>
      </c>
      <c r="E79" s="5" t="s">
        <v>52</v>
      </c>
      <c r="F79" s="5" t="s">
        <v>106</v>
      </c>
      <c r="G79" s="7">
        <v>0</v>
      </c>
      <c r="H79" s="8">
        <v>37.5</v>
      </c>
    </row>
    <row r="80" spans="1:8" x14ac:dyDescent="0.25">
      <c r="A80">
        <v>2</v>
      </c>
      <c r="B80" t="s">
        <v>53</v>
      </c>
      <c r="C80">
        <v>5009</v>
      </c>
      <c r="D80" t="s">
        <v>105</v>
      </c>
      <c r="E80" t="s">
        <v>59</v>
      </c>
      <c r="F80" t="s">
        <v>103</v>
      </c>
      <c r="G80" s="10">
        <v>18.91</v>
      </c>
      <c r="H80" s="11">
        <v>567.3</v>
      </c>
    </row>
    <row r="81" spans="1:8" x14ac:dyDescent="0.25">
      <c r="A81" s="5">
        <v>3</v>
      </c>
      <c r="B81" s="5" t="s">
        <v>67</v>
      </c>
      <c r="C81" s="5">
        <v>6001</v>
      </c>
      <c r="D81" s="5" t="s">
        <v>107</v>
      </c>
      <c r="E81" s="5" t="s">
        <v>68</v>
      </c>
      <c r="F81" s="5" t="s">
        <v>102</v>
      </c>
      <c r="G81" s="7">
        <v>79.22</v>
      </c>
      <c r="H81" s="8">
        <v>1307.13</v>
      </c>
    </row>
    <row r="82" spans="1:8" x14ac:dyDescent="0.25">
      <c r="A82">
        <v>3</v>
      </c>
      <c r="B82" t="s">
        <v>67</v>
      </c>
      <c r="C82">
        <v>6001</v>
      </c>
      <c r="D82" t="s">
        <v>107</v>
      </c>
      <c r="E82" t="s">
        <v>69</v>
      </c>
      <c r="F82" t="s">
        <v>102</v>
      </c>
      <c r="G82" s="10">
        <v>80</v>
      </c>
      <c r="H82" s="11">
        <v>2307.7</v>
      </c>
    </row>
    <row r="83" spans="1:8" x14ac:dyDescent="0.25">
      <c r="A83" s="5">
        <v>3</v>
      </c>
      <c r="B83" s="5" t="s">
        <v>67</v>
      </c>
      <c r="C83" s="5">
        <v>6001</v>
      </c>
      <c r="D83" s="5" t="s">
        <v>107</v>
      </c>
      <c r="E83" s="5" t="s">
        <v>70</v>
      </c>
      <c r="F83" s="5" t="s">
        <v>102</v>
      </c>
      <c r="G83" s="7">
        <v>76.1</v>
      </c>
      <c r="H83" s="8">
        <v>1293.7</v>
      </c>
    </row>
    <row r="84" spans="1:8" x14ac:dyDescent="0.25">
      <c r="A84">
        <v>3</v>
      </c>
      <c r="B84" t="s">
        <v>67</v>
      </c>
      <c r="C84">
        <v>6001</v>
      </c>
      <c r="D84" t="s">
        <v>107</v>
      </c>
      <c r="E84" t="s">
        <v>42</v>
      </c>
      <c r="F84" t="s">
        <v>102</v>
      </c>
      <c r="G84" s="10">
        <v>12</v>
      </c>
      <c r="H84" s="11">
        <v>461.54</v>
      </c>
    </row>
    <row r="85" spans="1:8" x14ac:dyDescent="0.25">
      <c r="A85" s="5">
        <v>3</v>
      </c>
      <c r="B85" s="5" t="s">
        <v>67</v>
      </c>
      <c r="C85" s="5">
        <v>6001</v>
      </c>
      <c r="D85" s="5" t="s">
        <v>107</v>
      </c>
      <c r="E85" s="5" t="s">
        <v>71</v>
      </c>
      <c r="F85" s="5" t="s">
        <v>102</v>
      </c>
      <c r="G85" s="7">
        <v>69.93</v>
      </c>
      <c r="H85" s="8">
        <v>1118.88</v>
      </c>
    </row>
    <row r="86" spans="1:8" x14ac:dyDescent="0.25">
      <c r="A86">
        <v>3</v>
      </c>
      <c r="B86" t="s">
        <v>67</v>
      </c>
      <c r="C86">
        <v>6001</v>
      </c>
      <c r="D86" t="s">
        <v>107</v>
      </c>
      <c r="E86" t="s">
        <v>72</v>
      </c>
      <c r="F86" t="s">
        <v>102</v>
      </c>
      <c r="G86" s="10">
        <v>65.7</v>
      </c>
      <c r="H86" s="11">
        <v>1314</v>
      </c>
    </row>
    <row r="87" spans="1:8" x14ac:dyDescent="0.25">
      <c r="A87" s="5">
        <v>3</v>
      </c>
      <c r="B87" s="5" t="s">
        <v>67</v>
      </c>
      <c r="C87" s="5">
        <v>6001</v>
      </c>
      <c r="D87" s="5" t="s">
        <v>107</v>
      </c>
      <c r="E87" s="5" t="s">
        <v>73</v>
      </c>
      <c r="F87" s="5" t="s">
        <v>102</v>
      </c>
      <c r="G87" s="7">
        <v>10.17</v>
      </c>
      <c r="H87" s="8">
        <v>162.72</v>
      </c>
    </row>
    <row r="88" spans="1:8" x14ac:dyDescent="0.25">
      <c r="A88">
        <v>3</v>
      </c>
      <c r="B88" t="s">
        <v>67</v>
      </c>
      <c r="C88">
        <v>6001</v>
      </c>
      <c r="D88" t="s">
        <v>107</v>
      </c>
      <c r="E88" t="s">
        <v>74</v>
      </c>
      <c r="F88" t="s">
        <v>102</v>
      </c>
      <c r="G88" s="10">
        <v>45.41</v>
      </c>
      <c r="H88" s="11">
        <v>726.56</v>
      </c>
    </row>
    <row r="89" spans="1:8" x14ac:dyDescent="0.25">
      <c r="A89" s="5">
        <v>3</v>
      </c>
      <c r="B89" s="5" t="s">
        <v>67</v>
      </c>
      <c r="C89" s="5">
        <v>6001</v>
      </c>
      <c r="D89" s="5" t="s">
        <v>107</v>
      </c>
      <c r="E89" s="5" t="s">
        <v>69</v>
      </c>
      <c r="F89" s="5" t="s">
        <v>106</v>
      </c>
      <c r="G89" s="7">
        <v>0</v>
      </c>
      <c r="H89" s="8">
        <v>75</v>
      </c>
    </row>
    <row r="90" spans="1:8" x14ac:dyDescent="0.25">
      <c r="A90">
        <v>3</v>
      </c>
      <c r="B90" t="s">
        <v>67</v>
      </c>
      <c r="C90">
        <v>6001</v>
      </c>
      <c r="D90" t="s">
        <v>107</v>
      </c>
      <c r="E90" t="s">
        <v>42</v>
      </c>
      <c r="F90" t="s">
        <v>106</v>
      </c>
      <c r="G90" s="10">
        <v>0</v>
      </c>
      <c r="H90" s="11">
        <v>11.25</v>
      </c>
    </row>
    <row r="91" spans="1:8" x14ac:dyDescent="0.25">
      <c r="A91" s="5">
        <v>3</v>
      </c>
      <c r="B91" s="5" t="s">
        <v>67</v>
      </c>
      <c r="C91" s="5">
        <v>6001</v>
      </c>
      <c r="D91" s="5" t="s">
        <v>107</v>
      </c>
      <c r="E91" s="5" t="s">
        <v>72</v>
      </c>
      <c r="F91" s="5" t="s">
        <v>103</v>
      </c>
      <c r="G91" s="7">
        <v>0.99</v>
      </c>
      <c r="H91" s="8">
        <v>29.7</v>
      </c>
    </row>
    <row r="92" spans="1:8" x14ac:dyDescent="0.25">
      <c r="A92">
        <v>3</v>
      </c>
      <c r="B92" t="s">
        <v>67</v>
      </c>
      <c r="C92">
        <v>6001</v>
      </c>
      <c r="D92" t="s">
        <v>107</v>
      </c>
      <c r="E92" t="s">
        <v>72</v>
      </c>
      <c r="F92" t="s">
        <v>104</v>
      </c>
      <c r="G92" s="10">
        <v>12</v>
      </c>
      <c r="H92" s="11">
        <v>240</v>
      </c>
    </row>
    <row r="93" spans="1:8" x14ac:dyDescent="0.25">
      <c r="A93" s="5">
        <v>4</v>
      </c>
      <c r="B93" s="5" t="s">
        <v>75</v>
      </c>
      <c r="C93" s="5">
        <v>6001</v>
      </c>
      <c r="D93" s="5" t="s">
        <v>107</v>
      </c>
      <c r="E93" s="5" t="s">
        <v>76</v>
      </c>
      <c r="F93" s="5" t="s">
        <v>102</v>
      </c>
      <c r="G93" s="7">
        <v>22.96</v>
      </c>
      <c r="H93" s="8">
        <v>275.52</v>
      </c>
    </row>
    <row r="94" spans="1:8" x14ac:dyDescent="0.25">
      <c r="A94">
        <v>4</v>
      </c>
      <c r="B94" t="s">
        <v>75</v>
      </c>
      <c r="C94">
        <v>6001</v>
      </c>
      <c r="D94" t="s">
        <v>107</v>
      </c>
      <c r="E94" t="s">
        <v>77</v>
      </c>
      <c r="F94" t="s">
        <v>102</v>
      </c>
      <c r="G94" s="10">
        <v>34.32</v>
      </c>
      <c r="H94" s="11">
        <v>411.84</v>
      </c>
    </row>
    <row r="95" spans="1:8" x14ac:dyDescent="0.25">
      <c r="A95" s="5">
        <v>4</v>
      </c>
      <c r="B95" s="5" t="s">
        <v>75</v>
      </c>
      <c r="C95" s="5">
        <v>6001</v>
      </c>
      <c r="D95" s="5" t="s">
        <v>107</v>
      </c>
      <c r="E95" s="5" t="s">
        <v>78</v>
      </c>
      <c r="F95" s="5" t="s">
        <v>102</v>
      </c>
      <c r="G95" s="7">
        <v>24.77</v>
      </c>
      <c r="H95" s="8">
        <v>291.05</v>
      </c>
    </row>
    <row r="96" spans="1:8" x14ac:dyDescent="0.25">
      <c r="A96">
        <v>4</v>
      </c>
      <c r="B96" t="s">
        <v>75</v>
      </c>
      <c r="C96">
        <v>6001</v>
      </c>
      <c r="D96" t="s">
        <v>107</v>
      </c>
      <c r="E96" t="s">
        <v>79</v>
      </c>
      <c r="F96" t="s">
        <v>102</v>
      </c>
      <c r="G96" s="10">
        <v>72.68</v>
      </c>
      <c r="H96" s="11">
        <v>872.16</v>
      </c>
    </row>
    <row r="97" spans="1:8" x14ac:dyDescent="0.25">
      <c r="A97" s="5">
        <v>4</v>
      </c>
      <c r="B97" s="5" t="s">
        <v>75</v>
      </c>
      <c r="C97" s="5">
        <v>6001</v>
      </c>
      <c r="D97" s="5" t="s">
        <v>107</v>
      </c>
      <c r="E97" s="5" t="s">
        <v>80</v>
      </c>
      <c r="F97" s="5" t="s">
        <v>102</v>
      </c>
      <c r="G97" s="7">
        <v>43.15</v>
      </c>
      <c r="H97" s="8">
        <v>539.38</v>
      </c>
    </row>
    <row r="98" spans="1:8" x14ac:dyDescent="0.25">
      <c r="A98">
        <v>4</v>
      </c>
      <c r="B98" t="s">
        <v>75</v>
      </c>
      <c r="C98">
        <v>6001</v>
      </c>
      <c r="D98" t="s">
        <v>107</v>
      </c>
      <c r="E98" t="s">
        <v>81</v>
      </c>
      <c r="F98" t="s">
        <v>102</v>
      </c>
      <c r="G98" s="10">
        <v>34.55</v>
      </c>
      <c r="H98" s="11">
        <v>345.5</v>
      </c>
    </row>
    <row r="99" spans="1:8" x14ac:dyDescent="0.25">
      <c r="A99" s="5">
        <v>4</v>
      </c>
      <c r="B99" s="5" t="s">
        <v>75</v>
      </c>
      <c r="C99" s="5">
        <v>6001</v>
      </c>
      <c r="D99" s="5" t="s">
        <v>107</v>
      </c>
      <c r="E99" s="5" t="s">
        <v>82</v>
      </c>
      <c r="F99" s="5" t="s">
        <v>102</v>
      </c>
      <c r="G99" s="7">
        <v>54.92</v>
      </c>
      <c r="H99" s="8">
        <v>686.5</v>
      </c>
    </row>
    <row r="100" spans="1:8" x14ac:dyDescent="0.25">
      <c r="A100">
        <v>4</v>
      </c>
      <c r="B100" t="s">
        <v>75</v>
      </c>
      <c r="C100">
        <v>6001</v>
      </c>
      <c r="D100" t="s">
        <v>107</v>
      </c>
      <c r="E100" t="s">
        <v>83</v>
      </c>
      <c r="F100" t="s">
        <v>102</v>
      </c>
      <c r="G100" s="10">
        <v>60.34</v>
      </c>
      <c r="H100" s="11">
        <v>754.25</v>
      </c>
    </row>
    <row r="101" spans="1:8" x14ac:dyDescent="0.25">
      <c r="A101" s="5">
        <v>4</v>
      </c>
      <c r="B101" s="5" t="s">
        <v>75</v>
      </c>
      <c r="C101" s="5">
        <v>6001</v>
      </c>
      <c r="D101" s="5" t="s">
        <v>107</v>
      </c>
      <c r="E101" s="5" t="s">
        <v>84</v>
      </c>
      <c r="F101" s="5" t="s">
        <v>102</v>
      </c>
      <c r="G101" s="7">
        <v>38.24</v>
      </c>
      <c r="H101" s="8">
        <v>420.64</v>
      </c>
    </row>
    <row r="102" spans="1:8" x14ac:dyDescent="0.25">
      <c r="A102">
        <v>4</v>
      </c>
      <c r="B102" t="s">
        <v>75</v>
      </c>
      <c r="C102">
        <v>6001</v>
      </c>
      <c r="D102" t="s">
        <v>107</v>
      </c>
      <c r="E102" t="s">
        <v>79</v>
      </c>
      <c r="F102" t="s">
        <v>103</v>
      </c>
      <c r="G102" s="10">
        <v>1.96</v>
      </c>
      <c r="H102" s="11">
        <v>35.28</v>
      </c>
    </row>
    <row r="103" spans="1:8" x14ac:dyDescent="0.25">
      <c r="A103" s="5">
        <v>4</v>
      </c>
      <c r="B103" s="5" t="s">
        <v>75</v>
      </c>
      <c r="C103" s="5">
        <v>6001</v>
      </c>
      <c r="D103" s="5" t="s">
        <v>107</v>
      </c>
      <c r="E103" s="5" t="s">
        <v>78</v>
      </c>
      <c r="F103" s="5" t="s">
        <v>104</v>
      </c>
      <c r="G103" s="7">
        <v>24</v>
      </c>
      <c r="H103" s="8">
        <v>282</v>
      </c>
    </row>
    <row r="104" spans="1:8" x14ac:dyDescent="0.25">
      <c r="A104">
        <v>4</v>
      </c>
      <c r="B104" t="s">
        <v>75</v>
      </c>
      <c r="C104">
        <v>6001</v>
      </c>
      <c r="D104" t="s">
        <v>107</v>
      </c>
      <c r="E104" t="s">
        <v>79</v>
      </c>
      <c r="F104" t="s">
        <v>104</v>
      </c>
      <c r="G104" s="10">
        <v>8</v>
      </c>
      <c r="H104" s="11">
        <v>96</v>
      </c>
    </row>
    <row r="105" spans="1:8" x14ac:dyDescent="0.25">
      <c r="A105" s="5">
        <v>5</v>
      </c>
      <c r="B105" s="5" t="s">
        <v>85</v>
      </c>
      <c r="C105" s="5">
        <v>6900</v>
      </c>
      <c r="D105" s="5" t="s">
        <v>108</v>
      </c>
      <c r="E105" s="5" t="s">
        <v>86</v>
      </c>
      <c r="F105" s="5" t="s">
        <v>109</v>
      </c>
      <c r="G105" s="7">
        <v>0</v>
      </c>
      <c r="H105" s="8">
        <v>682.09</v>
      </c>
    </row>
    <row r="106" spans="1:8" x14ac:dyDescent="0.25">
      <c r="A106">
        <v>5</v>
      </c>
      <c r="B106" t="s">
        <v>85</v>
      </c>
      <c r="C106">
        <v>5007</v>
      </c>
      <c r="D106" t="s">
        <v>110</v>
      </c>
      <c r="E106" t="s">
        <v>86</v>
      </c>
      <c r="F106" t="s">
        <v>111</v>
      </c>
      <c r="G106" s="10">
        <v>0</v>
      </c>
      <c r="H106" s="11">
        <v>400</v>
      </c>
    </row>
    <row r="107" spans="1:8" x14ac:dyDescent="0.25">
      <c r="A107" s="5">
        <v>5</v>
      </c>
      <c r="B107" s="5" t="s">
        <v>85</v>
      </c>
      <c r="C107" s="5">
        <v>6001</v>
      </c>
      <c r="D107" s="5" t="s">
        <v>107</v>
      </c>
      <c r="E107" s="5" t="s">
        <v>86</v>
      </c>
      <c r="F107" s="5" t="s">
        <v>102</v>
      </c>
      <c r="G107" s="7">
        <v>80</v>
      </c>
      <c r="H107" s="8">
        <v>2500</v>
      </c>
    </row>
    <row r="108" spans="1:8" x14ac:dyDescent="0.25">
      <c r="A108">
        <v>5</v>
      </c>
      <c r="B108" t="s">
        <v>87</v>
      </c>
      <c r="C108">
        <v>6001</v>
      </c>
      <c r="D108" t="s">
        <v>107</v>
      </c>
      <c r="E108" t="s">
        <v>88</v>
      </c>
      <c r="F108" t="s">
        <v>102</v>
      </c>
      <c r="G108" s="10">
        <v>80</v>
      </c>
      <c r="H108" s="11">
        <v>23538.69</v>
      </c>
    </row>
    <row r="109" spans="1:8" x14ac:dyDescent="0.25">
      <c r="A109" s="5">
        <v>5</v>
      </c>
      <c r="B109" s="5" t="s">
        <v>85</v>
      </c>
      <c r="C109" s="5">
        <v>6001</v>
      </c>
      <c r="D109" s="5" t="s">
        <v>107</v>
      </c>
      <c r="E109" s="5" t="s">
        <v>41</v>
      </c>
      <c r="F109" s="5" t="s">
        <v>102</v>
      </c>
      <c r="G109" s="7">
        <v>0</v>
      </c>
      <c r="H109" s="8">
        <v>7177.17</v>
      </c>
    </row>
    <row r="110" spans="1:8" x14ac:dyDescent="0.25">
      <c r="A110">
        <v>5</v>
      </c>
      <c r="B110" t="s">
        <v>89</v>
      </c>
      <c r="C110">
        <v>6001</v>
      </c>
      <c r="D110" t="s">
        <v>107</v>
      </c>
      <c r="E110" t="s">
        <v>90</v>
      </c>
      <c r="F110" t="s">
        <v>102</v>
      </c>
      <c r="G110" s="10">
        <v>56</v>
      </c>
      <c r="H110" s="11">
        <v>1615.38</v>
      </c>
    </row>
    <row r="111" spans="1:8" x14ac:dyDescent="0.25">
      <c r="A111" s="5">
        <v>5</v>
      </c>
      <c r="B111" s="5" t="s">
        <v>85</v>
      </c>
      <c r="C111" s="5">
        <v>6001</v>
      </c>
      <c r="D111" s="5" t="s">
        <v>107</v>
      </c>
      <c r="E111" s="5" t="s">
        <v>91</v>
      </c>
      <c r="F111" s="5" t="s">
        <v>102</v>
      </c>
      <c r="G111" s="7">
        <v>72</v>
      </c>
      <c r="H111" s="8">
        <v>2215.38</v>
      </c>
    </row>
    <row r="112" spans="1:8" x14ac:dyDescent="0.25">
      <c r="A112">
        <v>5</v>
      </c>
      <c r="B112" t="s">
        <v>85</v>
      </c>
      <c r="C112">
        <v>6001</v>
      </c>
      <c r="D112" t="s">
        <v>107</v>
      </c>
      <c r="E112" t="s">
        <v>92</v>
      </c>
      <c r="F112" t="s">
        <v>102</v>
      </c>
      <c r="G112" s="10">
        <v>63.49</v>
      </c>
      <c r="H112" s="11">
        <v>1650.74</v>
      </c>
    </row>
    <row r="113" spans="1:8" x14ac:dyDescent="0.25">
      <c r="A113" s="5">
        <v>5</v>
      </c>
      <c r="B113" s="5" t="s">
        <v>85</v>
      </c>
      <c r="C113" s="5">
        <v>6001</v>
      </c>
      <c r="D113" s="5" t="s">
        <v>107</v>
      </c>
      <c r="E113" s="5" t="s">
        <v>93</v>
      </c>
      <c r="F113" s="5" t="s">
        <v>102</v>
      </c>
      <c r="G113" s="7">
        <v>61.87</v>
      </c>
      <c r="H113" s="8">
        <v>2165.45</v>
      </c>
    </row>
    <row r="114" spans="1:8" x14ac:dyDescent="0.25">
      <c r="A114">
        <v>5</v>
      </c>
      <c r="B114" t="s">
        <v>85</v>
      </c>
      <c r="C114">
        <v>6001</v>
      </c>
      <c r="D114" t="s">
        <v>107</v>
      </c>
      <c r="E114" t="s">
        <v>92</v>
      </c>
      <c r="F114" t="s">
        <v>112</v>
      </c>
      <c r="G114" s="10">
        <v>0</v>
      </c>
      <c r="H114" s="11">
        <v>301.7</v>
      </c>
    </row>
    <row r="115" spans="1:8" x14ac:dyDescent="0.25">
      <c r="A115" s="5">
        <v>5</v>
      </c>
      <c r="B115" s="5" t="s">
        <v>89</v>
      </c>
      <c r="C115" s="5">
        <v>6001</v>
      </c>
      <c r="D115" s="5" t="s">
        <v>107</v>
      </c>
      <c r="E115" s="5" t="s">
        <v>90</v>
      </c>
      <c r="F115" s="5" t="s">
        <v>104</v>
      </c>
      <c r="G115" s="7">
        <v>24</v>
      </c>
      <c r="H115" s="8">
        <v>692.31</v>
      </c>
    </row>
    <row r="116" spans="1:8" x14ac:dyDescent="0.25">
      <c r="A116">
        <v>5</v>
      </c>
      <c r="B116" t="s">
        <v>85</v>
      </c>
      <c r="C116">
        <v>6001</v>
      </c>
      <c r="D116" t="s">
        <v>107</v>
      </c>
      <c r="E116" t="s">
        <v>91</v>
      </c>
      <c r="F116" t="s">
        <v>104</v>
      </c>
      <c r="G116" s="10">
        <v>8</v>
      </c>
      <c r="H116" s="11">
        <v>246.15</v>
      </c>
    </row>
    <row r="117" spans="1:8" x14ac:dyDescent="0.25">
      <c r="A117" s="5">
        <v>5</v>
      </c>
      <c r="B117" s="5" t="s">
        <v>85</v>
      </c>
      <c r="C117" s="5">
        <v>6010</v>
      </c>
      <c r="D117" s="5" t="s">
        <v>113</v>
      </c>
      <c r="E117" s="5" t="s">
        <v>86</v>
      </c>
      <c r="F117" s="5" t="s">
        <v>106</v>
      </c>
      <c r="G117" s="7">
        <v>0</v>
      </c>
      <c r="H117" s="8">
        <v>75</v>
      </c>
    </row>
    <row r="118" spans="1:8" x14ac:dyDescent="0.25">
      <c r="A118">
        <v>5</v>
      </c>
      <c r="B118" t="s">
        <v>89</v>
      </c>
      <c r="C118">
        <v>6010</v>
      </c>
      <c r="D118" t="s">
        <v>113</v>
      </c>
      <c r="E118" t="s">
        <v>90</v>
      </c>
      <c r="F118" t="s">
        <v>106</v>
      </c>
      <c r="G118" s="10">
        <v>0</v>
      </c>
      <c r="H118" s="11">
        <v>75</v>
      </c>
    </row>
    <row r="119" spans="1:8" x14ac:dyDescent="0.25">
      <c r="A119" s="5">
        <v>5</v>
      </c>
      <c r="B119" s="5" t="s">
        <v>85</v>
      </c>
      <c r="C119" s="5">
        <v>6010</v>
      </c>
      <c r="D119" s="5" t="s">
        <v>113</v>
      </c>
      <c r="E119" s="5" t="s">
        <v>92</v>
      </c>
      <c r="F119" s="5" t="s">
        <v>106</v>
      </c>
      <c r="G119" s="7">
        <v>0</v>
      </c>
      <c r="H119" s="8">
        <v>75</v>
      </c>
    </row>
    <row r="120" spans="1:8" x14ac:dyDescent="0.25">
      <c r="A120">
        <v>5</v>
      </c>
      <c r="B120" t="s">
        <v>85</v>
      </c>
      <c r="C120">
        <v>6010</v>
      </c>
      <c r="D120" t="s">
        <v>113</v>
      </c>
      <c r="E120" t="s">
        <v>93</v>
      </c>
      <c r="F120" t="s">
        <v>106</v>
      </c>
      <c r="G120" s="10">
        <v>0</v>
      </c>
      <c r="H120" s="11">
        <v>10</v>
      </c>
    </row>
    <row r="121" spans="1:8" s="1" customFormat="1" x14ac:dyDescent="0.25">
      <c r="A121" s="29" t="s">
        <v>94</v>
      </c>
      <c r="B121" s="29" t="s">
        <v>94</v>
      </c>
      <c r="C121" s="29" t="s">
        <v>94</v>
      </c>
      <c r="D121" s="29" t="s">
        <v>94</v>
      </c>
      <c r="E121" s="29" t="s">
        <v>114</v>
      </c>
      <c r="F121" s="29" t="s">
        <v>94</v>
      </c>
      <c r="G121" s="30">
        <f>SUM(G2:G120)</f>
      </c>
      <c r="H121" s="31">
        <f>SUM(H2:H120)</f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 Summary</vt:lpstr>
      <vt:lpstr>Employee Roster</vt:lpstr>
      <vt:lpstr>Payroll Detail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R-Dent Payroll Tool</dc:creator>
  <dc:title/>
  <dc:subject/>
  <dc:description/>
  <cp:keywords/>
  <cp:category/>
  <cp:lastModifiedBy>Unknown</cp:lastModifiedBy>
  <dcterms:created xsi:type="dcterms:W3CDTF">2026-05-13T18:54:49Z</dcterms:created>
  <dcterms:modified xsi:type="dcterms:W3CDTF">2026-05-13T18:54:49Z</dcterms:modified>
</cp:coreProperties>
</file>